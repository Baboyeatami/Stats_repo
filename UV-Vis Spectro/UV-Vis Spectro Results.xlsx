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V Vis-Spectro Anthocyanin" sheetId="1" r:id="rId5"/>
    <sheet state="visible" name="ImageJ Litmus LAB and XYZ" sheetId="2" r:id="rId6"/>
    <sheet state="visible" name="Tensile Strength" sheetId="3" r:id="rId7"/>
    <sheet state="visible" name="Time Response" sheetId="4" r:id="rId8"/>
  </sheets>
  <definedNames/>
  <calcPr/>
</workbook>
</file>

<file path=xl/sharedStrings.xml><?xml version="1.0" encoding="utf-8"?>
<sst xmlns="http://schemas.openxmlformats.org/spreadsheetml/2006/main" count="336" uniqueCount="46">
  <si>
    <t>Type</t>
  </si>
  <si>
    <t>pH</t>
  </si>
  <si>
    <t>Replicate</t>
  </si>
  <si>
    <t>Color</t>
  </si>
  <si>
    <t>λ (nM)</t>
  </si>
  <si>
    <t>Absorbance</t>
  </si>
  <si>
    <t>Notes</t>
  </si>
  <si>
    <t>Transmittance of Color</t>
  </si>
  <si>
    <t>X</t>
  </si>
  <si>
    <t>Y</t>
  </si>
  <si>
    <t>Z</t>
  </si>
  <si>
    <t>L*</t>
  </si>
  <si>
    <t>a*</t>
  </si>
  <si>
    <t>b*</t>
  </si>
  <si>
    <t xml:space="preserve"> ΔE (Baseline)</t>
  </si>
  <si>
    <t xml:space="preserve"> ΔE (vs 5.5)</t>
  </si>
  <si>
    <t xml:space="preserve"> ΔE (vs 6.5)</t>
  </si>
  <si>
    <t>ΔE (vs 7.0)</t>
  </si>
  <si>
    <t>ΔE (vs 7.5)</t>
  </si>
  <si>
    <t>ΔE (vs 8.5)</t>
  </si>
  <si>
    <t>Baseline</t>
  </si>
  <si>
    <t>B</t>
  </si>
  <si>
    <t>480</t>
  </si>
  <si>
    <t>T% = 100</t>
  </si>
  <si>
    <t>G</t>
  </si>
  <si>
    <t>530</t>
  </si>
  <si>
    <t>R</t>
  </si>
  <si>
    <t>600</t>
  </si>
  <si>
    <t>T% = 82.3</t>
  </si>
  <si>
    <t>Mixture</t>
  </si>
  <si>
    <t>Mean (Trial 1-5) (Applies to All)</t>
  </si>
  <si>
    <t>Note: Mean of Delta E (only 1-5)</t>
  </si>
  <si>
    <t>T% = 82.8</t>
  </si>
  <si>
    <t>Mean</t>
  </si>
  <si>
    <t>ΔE (vs 6.5)</t>
  </si>
  <si>
    <t>Trial</t>
  </si>
  <si>
    <t>Nominal Diameter (mm)</t>
  </si>
  <si>
    <t>Cross-Sectional Area (mm²)</t>
  </si>
  <si>
    <t>N</t>
  </si>
  <si>
    <t>Mean N</t>
  </si>
  <si>
    <t>MPa</t>
  </si>
  <si>
    <t>Mean MPa</t>
  </si>
  <si>
    <t>Uncoated</t>
  </si>
  <si>
    <t>Coated</t>
  </si>
  <si>
    <t>Chromic Catgut</t>
  </si>
  <si>
    <t>Seconds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</si>
</sst>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color theme="1"/>
      <name val="Poppins"/>
    </font>
    <font>
      <color theme="1"/>
      <name val="Poppins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9">
    <border/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4" fillId="0" fontId="3" numFmtId="0" xfId="0" applyBorder="1" applyFont="1"/>
    <xf borderId="4" fillId="0" fontId="2" numFmtId="0" xfId="0" applyAlignment="1" applyBorder="1" applyFont="1">
      <alignment horizontal="center" readingOrder="0" vertical="center"/>
    </xf>
    <xf borderId="4" fillId="0" fontId="2" numFmtId="49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7" fillId="0" fontId="2" numFmtId="164" xfId="0" applyAlignment="1" applyBorder="1" applyFont="1" applyNumberForma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/>
    </xf>
    <xf borderId="4" fillId="3" fontId="2" numFmtId="0" xfId="0" applyAlignment="1" applyBorder="1" applyFill="1" applyFont="1">
      <alignment horizontal="center" readingOrder="0"/>
    </xf>
    <xf borderId="4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readingOrder="0"/>
    </xf>
    <xf borderId="7" fillId="3" fontId="2" numFmtId="0" xfId="0" applyAlignment="1" applyBorder="1" applyFont="1">
      <alignment horizontal="center"/>
    </xf>
    <xf borderId="7" fillId="3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/>
    </xf>
    <xf borderId="1" fillId="0" fontId="3" numFmtId="0" xfId="0" applyBorder="1" applyFont="1"/>
    <xf borderId="1" fillId="3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2" fillId="0" fontId="3" numFmtId="0" xfId="0" applyBorder="1" applyFont="1"/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26.63"/>
    <col customWidth="1" min="9" max="9" width="19.88"/>
    <col customWidth="1" min="10" max="10" width="21.5"/>
    <col customWidth="1" min="11" max="11" width="18.25"/>
    <col customWidth="1" min="21" max="21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/>
      <c r="V1" s="4"/>
      <c r="W1" s="4"/>
      <c r="X1" s="4"/>
      <c r="Y1" s="4"/>
      <c r="Z1" s="4"/>
      <c r="AA1" s="4"/>
      <c r="AB1" s="4"/>
      <c r="AC1" s="4"/>
    </row>
    <row r="2">
      <c r="A2" s="5" t="s">
        <v>20</v>
      </c>
      <c r="B2" s="5">
        <v>5.5</v>
      </c>
      <c r="C2" s="5">
        <v>0.0</v>
      </c>
      <c r="D2" s="5" t="s">
        <v>21</v>
      </c>
      <c r="E2" s="6" t="s">
        <v>22</v>
      </c>
      <c r="F2" s="5">
        <v>0.007</v>
      </c>
      <c r="G2" s="5" t="s">
        <v>23</v>
      </c>
      <c r="H2" s="4">
        <f t="shared" ref="H2:H19" si="1">10^-F2</f>
        <v>0.9840111058</v>
      </c>
      <c r="I2" s="4">
        <f> (0.4124 * H4) + (0.3576 * H3) + (0.1805 * H2)</f>
        <v>0.8743068734</v>
      </c>
      <c r="J2" s="4">
        <f> (0.2126 * H4) + (0.7152 * H3) + (0.0722 * H2)</f>
        <v>0.9610543892</v>
      </c>
      <c r="K2" s="4">
        <f> (0.0193 * H4) + (0.1192 *H3) + (0.9505 * H2)</f>
        <v>1.070371839</v>
      </c>
      <c r="L2" s="5">
        <v>98.47</v>
      </c>
      <c r="M2" s="5">
        <v>-7.15</v>
      </c>
      <c r="N2" s="5">
        <v>-1.49</v>
      </c>
      <c r="O2" s="5"/>
      <c r="P2" s="5">
        <v>50.843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D3" s="5" t="s">
        <v>24</v>
      </c>
      <c r="E3" s="6" t="s">
        <v>25</v>
      </c>
      <c r="F3" s="5">
        <v>0.0</v>
      </c>
      <c r="G3" s="5" t="s">
        <v>23</v>
      </c>
      <c r="H3" s="4">
        <f t="shared" si="1"/>
        <v>1</v>
      </c>
      <c r="V3" s="4"/>
      <c r="W3" s="4"/>
      <c r="X3" s="4"/>
      <c r="Y3" s="4"/>
      <c r="Z3" s="4"/>
      <c r="AA3" s="4"/>
      <c r="AB3" s="4"/>
      <c r="AC3" s="4"/>
    </row>
    <row r="4">
      <c r="A4" s="7"/>
      <c r="C4" s="7"/>
      <c r="D4" s="8" t="s">
        <v>26</v>
      </c>
      <c r="E4" s="9" t="s">
        <v>27</v>
      </c>
      <c r="F4" s="8">
        <v>0.085</v>
      </c>
      <c r="G4" s="8" t="s">
        <v>28</v>
      </c>
      <c r="H4" s="10">
        <f t="shared" si="1"/>
        <v>0.8222426499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4"/>
      <c r="W4" s="4"/>
      <c r="X4" s="4"/>
      <c r="Y4" s="4"/>
      <c r="Z4" s="4"/>
      <c r="AA4" s="4"/>
      <c r="AB4" s="4"/>
      <c r="AC4" s="4"/>
    </row>
    <row r="5">
      <c r="A5" s="5" t="s">
        <v>29</v>
      </c>
      <c r="C5" s="5">
        <v>1.0</v>
      </c>
      <c r="D5" s="5" t="s">
        <v>21</v>
      </c>
      <c r="E5" s="6" t="s">
        <v>22</v>
      </c>
      <c r="F5" s="5">
        <v>0.326</v>
      </c>
      <c r="G5" s="5" t="s">
        <v>23</v>
      </c>
      <c r="H5" s="4">
        <f t="shared" si="1"/>
        <v>0.4720630413</v>
      </c>
      <c r="I5" s="4">
        <f> (0.4124 * H7) + (0.3576 * H6) + (0.1805 * H5)</f>
        <v>0.2467293209</v>
      </c>
      <c r="J5" s="4">
        <f> (0.2126 * H7) + (0.7152 * H6) + (0.0722 * H5)</f>
        <v>0.2795211883</v>
      </c>
      <c r="K5" s="4">
        <f> (0.0193 * H7) + (0.1192 *H6) + (0.9505 * H5)</f>
        <v>0.4875571485</v>
      </c>
      <c r="L5" s="5">
        <v>59.85</v>
      </c>
      <c r="M5" s="5">
        <v>-7.96</v>
      </c>
      <c r="N5" s="5">
        <v>-22.24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D6" s="5" t="s">
        <v>24</v>
      </c>
      <c r="E6" s="6" t="s">
        <v>25</v>
      </c>
      <c r="F6" s="5">
        <v>0.515</v>
      </c>
      <c r="G6" s="5" t="s">
        <v>23</v>
      </c>
      <c r="H6" s="4">
        <f t="shared" si="1"/>
        <v>0.3054921113</v>
      </c>
      <c r="V6" s="4"/>
      <c r="W6" s="4"/>
      <c r="X6" s="4"/>
      <c r="Y6" s="4"/>
      <c r="Z6" s="4"/>
      <c r="AA6" s="4"/>
      <c r="AB6" s="4"/>
      <c r="AC6" s="4"/>
    </row>
    <row r="7">
      <c r="C7" s="7"/>
      <c r="D7" s="8" t="s">
        <v>26</v>
      </c>
      <c r="E7" s="9" t="s">
        <v>27</v>
      </c>
      <c r="F7" s="8">
        <v>0.897</v>
      </c>
      <c r="G7" s="8" t="s">
        <v>28</v>
      </c>
      <c r="H7" s="10">
        <f t="shared" si="1"/>
        <v>0.1267651866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4"/>
      <c r="W7" s="4"/>
      <c r="X7" s="4"/>
      <c r="Y7" s="4"/>
      <c r="Z7" s="4"/>
      <c r="AA7" s="4"/>
      <c r="AB7" s="4"/>
      <c r="AC7" s="4"/>
    </row>
    <row r="8">
      <c r="C8" s="5">
        <v>2.0</v>
      </c>
      <c r="D8" s="5" t="s">
        <v>21</v>
      </c>
      <c r="E8" s="6" t="s">
        <v>22</v>
      </c>
      <c r="F8" s="5">
        <v>0.291</v>
      </c>
      <c r="G8" s="5" t="s">
        <v>23</v>
      </c>
      <c r="H8" s="4">
        <f t="shared" si="1"/>
        <v>0.5116818355</v>
      </c>
      <c r="I8" s="4">
        <f> (0.4124 * H10) + (0.3576 * H9) + (0.1805 * H8)</f>
        <v>0.2748083495</v>
      </c>
      <c r="J8" s="4">
        <f> (0.2126 * H10) + (0.7152 * H9) + (0.0722 * H8)</f>
        <v>0.312122146</v>
      </c>
      <c r="K8" s="4">
        <f> (0.0193 * H10) + (0.1192 *H9) + (0.9505 * H8)</f>
        <v>0.5298522871</v>
      </c>
      <c r="L8" s="5">
        <v>62.69</v>
      </c>
      <c r="M8" s="5">
        <v>-8.54</v>
      </c>
      <c r="N8" s="5">
        <v>-21.65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D9" s="5" t="s">
        <v>24</v>
      </c>
      <c r="E9" s="6" t="s">
        <v>25</v>
      </c>
      <c r="F9" s="5">
        <v>0.467</v>
      </c>
      <c r="G9" s="5" t="s">
        <v>23</v>
      </c>
      <c r="H9" s="4">
        <f t="shared" si="1"/>
        <v>0.3411929116</v>
      </c>
      <c r="V9" s="4"/>
      <c r="W9" s="4"/>
      <c r="X9" s="4"/>
      <c r="Y9" s="4"/>
      <c r="Z9" s="4"/>
      <c r="AA9" s="4"/>
      <c r="AB9" s="4"/>
      <c r="AC9" s="4"/>
    </row>
    <row r="10">
      <c r="C10" s="7"/>
      <c r="D10" s="8" t="s">
        <v>26</v>
      </c>
      <c r="E10" s="9" t="s">
        <v>27</v>
      </c>
      <c r="F10" s="8">
        <v>0.834</v>
      </c>
      <c r="G10" s="8" t="s">
        <v>28</v>
      </c>
      <c r="H10" s="10">
        <f t="shared" si="1"/>
        <v>0.1465547841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4"/>
      <c r="W10" s="4"/>
      <c r="X10" s="4"/>
      <c r="Y10" s="4"/>
      <c r="Z10" s="4"/>
      <c r="AA10" s="4"/>
      <c r="AB10" s="4"/>
      <c r="AC10" s="4"/>
    </row>
    <row r="11">
      <c r="C11" s="5">
        <v>3.0</v>
      </c>
      <c r="D11" s="5" t="s">
        <v>21</v>
      </c>
      <c r="E11" s="6" t="s">
        <v>22</v>
      </c>
      <c r="F11" s="5">
        <v>0.415</v>
      </c>
      <c r="G11" s="5" t="s">
        <v>23</v>
      </c>
      <c r="H11" s="4">
        <f t="shared" si="1"/>
        <v>0.384591782</v>
      </c>
      <c r="I11" s="4">
        <f> (0.4124 * H13) + (0.3576 * H12) + (0.1805 * H11)</f>
        <v>0.1492855535</v>
      </c>
      <c r="J11" s="4">
        <f> (0.2126 * H13) + (0.7152 * H12) + (0.0722 * H11)</f>
        <v>0.1530744644</v>
      </c>
      <c r="K11" s="4">
        <f> (0.0193 * H13) + (0.1192 *H12) + (0.9505 * H11)</f>
        <v>0.3855317344</v>
      </c>
      <c r="L11" s="5">
        <v>46.05</v>
      </c>
      <c r="M11" s="5">
        <v>2.3</v>
      </c>
      <c r="N11" s="5">
        <v>-34.5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D12" s="5" t="s">
        <v>24</v>
      </c>
      <c r="E12" s="6" t="s">
        <v>25</v>
      </c>
      <c r="F12" s="5">
        <v>0.8</v>
      </c>
      <c r="G12" s="5" t="s">
        <v>23</v>
      </c>
      <c r="H12" s="4">
        <f t="shared" si="1"/>
        <v>0.1584893192</v>
      </c>
      <c r="V12" s="4"/>
      <c r="W12" s="4"/>
      <c r="X12" s="4"/>
      <c r="Y12" s="4"/>
      <c r="Z12" s="4"/>
      <c r="AA12" s="4"/>
      <c r="AB12" s="4"/>
      <c r="AC12" s="4"/>
    </row>
    <row r="13">
      <c r="C13" s="7"/>
      <c r="D13" s="8" t="s">
        <v>26</v>
      </c>
      <c r="E13" s="9" t="s">
        <v>27</v>
      </c>
      <c r="F13" s="8">
        <v>1.25</v>
      </c>
      <c r="G13" s="8" t="s">
        <v>28</v>
      </c>
      <c r="H13" s="10">
        <f t="shared" si="1"/>
        <v>0.05623413252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4"/>
      <c r="W13" s="4"/>
      <c r="X13" s="4"/>
      <c r="Y13" s="4"/>
      <c r="Z13" s="4"/>
      <c r="AA13" s="4"/>
      <c r="AB13" s="4"/>
      <c r="AC13" s="4"/>
    </row>
    <row r="14">
      <c r="C14" s="5">
        <v>4.0</v>
      </c>
      <c r="D14" s="5" t="s">
        <v>21</v>
      </c>
      <c r="E14" s="6" t="s">
        <v>22</v>
      </c>
      <c r="F14" s="5">
        <v>0.505</v>
      </c>
      <c r="G14" s="5" t="s">
        <v>23</v>
      </c>
      <c r="H14" s="4">
        <f t="shared" si="1"/>
        <v>0.3126079367</v>
      </c>
      <c r="I14" s="11">
        <f> (0.4124 * H16) + (0.3576 * H15) + (0.1805 * H14)</f>
        <v>0.1401346575</v>
      </c>
      <c r="J14" s="11">
        <f> (0.2126 * H16) + (0.7152 * H15) + (0.0722 * H14)</f>
        <v>0.1544337453</v>
      </c>
      <c r="K14" s="11">
        <f> (0.0193 * H16) + (0.1192 *H15) + (0.9505 * H14)</f>
        <v>0.3181741193</v>
      </c>
      <c r="L14" s="12">
        <v>46.24</v>
      </c>
      <c r="M14" s="12">
        <v>-4.11</v>
      </c>
      <c r="N14" s="12">
        <v>-25.42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D15" s="5" t="s">
        <v>24</v>
      </c>
      <c r="E15" s="6" t="s">
        <v>25</v>
      </c>
      <c r="F15" s="5">
        <v>0.777</v>
      </c>
      <c r="G15" s="5" t="s">
        <v>23</v>
      </c>
      <c r="H15" s="4">
        <f t="shared" si="1"/>
        <v>0.1671090614</v>
      </c>
      <c r="V15" s="4"/>
      <c r="W15" s="4"/>
      <c r="X15" s="4"/>
      <c r="Y15" s="4"/>
      <c r="Z15" s="4"/>
      <c r="AA15" s="4"/>
      <c r="AB15" s="4"/>
      <c r="AC15" s="4"/>
    </row>
    <row r="16">
      <c r="C16" s="7"/>
      <c r="D16" s="8" t="s">
        <v>26</v>
      </c>
      <c r="E16" s="9" t="s">
        <v>27</v>
      </c>
      <c r="F16" s="8">
        <v>1.236</v>
      </c>
      <c r="G16" s="8" t="s">
        <v>28</v>
      </c>
      <c r="H16" s="10">
        <f t="shared" si="1"/>
        <v>0.05807644175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"/>
      <c r="W16" s="4"/>
      <c r="X16" s="4"/>
      <c r="Y16" s="4"/>
      <c r="Z16" s="4"/>
      <c r="AA16" s="4"/>
      <c r="AB16" s="4"/>
      <c r="AC16" s="4"/>
    </row>
    <row r="17">
      <c r="C17" s="5">
        <v>5.0</v>
      </c>
      <c r="D17" s="5" t="s">
        <v>21</v>
      </c>
      <c r="E17" s="6" t="s">
        <v>22</v>
      </c>
      <c r="F17" s="5">
        <v>0.413</v>
      </c>
      <c r="G17" s="5" t="s">
        <v>23</v>
      </c>
      <c r="H17" s="4">
        <f t="shared" si="1"/>
        <v>0.3863669771</v>
      </c>
      <c r="I17" s="11">
        <f> (0.4124 * H19) + (0.3576 * H18) + (0.1805 * H17)</f>
        <v>0.1899033173</v>
      </c>
      <c r="J17" s="11">
        <f> (0.2126 * H19) + (0.7152 * H18) + (0.0722 * H17)</f>
        <v>0.2142860397</v>
      </c>
      <c r="K17" s="11">
        <f> (0.0193 * H19) + (0.1192 *H18) + (0.9505 * H17)</f>
        <v>0.3968854435</v>
      </c>
      <c r="L17" s="12">
        <v>53.42</v>
      </c>
      <c r="M17" s="12">
        <v>-6.9</v>
      </c>
      <c r="N17" s="12">
        <v>-23.19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D18" s="5" t="s">
        <v>24</v>
      </c>
      <c r="E18" s="6" t="s">
        <v>25</v>
      </c>
      <c r="F18" s="5">
        <v>0.63</v>
      </c>
      <c r="G18" s="5" t="s">
        <v>23</v>
      </c>
      <c r="H18" s="4">
        <f t="shared" si="1"/>
        <v>0.2344228815</v>
      </c>
      <c r="V18" s="4"/>
      <c r="W18" s="4"/>
      <c r="X18" s="4"/>
      <c r="Y18" s="4"/>
      <c r="Z18" s="4"/>
      <c r="AA18" s="4"/>
      <c r="AB18" s="4"/>
      <c r="AC18" s="4"/>
    </row>
    <row r="19">
      <c r="A19" s="7"/>
      <c r="B19" s="7"/>
      <c r="C19" s="7"/>
      <c r="D19" s="8" t="s">
        <v>26</v>
      </c>
      <c r="E19" s="9" t="s">
        <v>27</v>
      </c>
      <c r="F19" s="8">
        <v>1.055</v>
      </c>
      <c r="G19" s="8" t="s">
        <v>28</v>
      </c>
      <c r="H19" s="10">
        <f t="shared" si="1"/>
        <v>0.0881048873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"/>
      <c r="W19" s="4"/>
      <c r="X19" s="4"/>
      <c r="Y19" s="4"/>
      <c r="Z19" s="4"/>
      <c r="AA19" s="4"/>
      <c r="AB19" s="4"/>
      <c r="AC19" s="4"/>
    </row>
    <row r="20">
      <c r="A20" s="13" t="s">
        <v>30</v>
      </c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16">
        <f t="shared" ref="L20:N20" si="2">AVERAGE(L5:L19)</f>
        <v>53.65</v>
      </c>
      <c r="M20" s="16">
        <f t="shared" si="2"/>
        <v>-5.042</v>
      </c>
      <c r="N20" s="16">
        <f t="shared" si="2"/>
        <v>-25.4</v>
      </c>
      <c r="O20" s="10"/>
      <c r="P20" s="10"/>
      <c r="Q20" s="8">
        <v>7.461</v>
      </c>
      <c r="R20" s="10"/>
      <c r="S20" s="10"/>
      <c r="T20" s="10"/>
      <c r="U20" s="8" t="s">
        <v>31</v>
      </c>
      <c r="V20" s="4"/>
      <c r="W20" s="4"/>
      <c r="X20" s="4"/>
      <c r="Y20" s="4"/>
      <c r="Z20" s="4"/>
      <c r="AA20" s="4"/>
      <c r="AB20" s="4"/>
      <c r="AC20" s="4"/>
    </row>
    <row r="21">
      <c r="A21" s="5" t="s">
        <v>20</v>
      </c>
      <c r="B21" s="5">
        <v>6.5</v>
      </c>
      <c r="C21" s="5">
        <v>0.0</v>
      </c>
      <c r="D21" s="5" t="s">
        <v>21</v>
      </c>
      <c r="E21" s="6" t="s">
        <v>22</v>
      </c>
      <c r="F21" s="5">
        <v>0.0</v>
      </c>
      <c r="G21" s="5" t="s">
        <v>32</v>
      </c>
      <c r="H21" s="4">
        <f t="shared" ref="H21:H38" si="3">10^-F21</f>
        <v>1</v>
      </c>
      <c r="I21" s="11">
        <f> (0.4124 * H23) + (0.3576 * H22) + (0.1805 * H21)</f>
        <v>0.9505</v>
      </c>
      <c r="J21" s="11">
        <f> (0.2126 * H23) + (0.7152 * H22) + (0.0722 * H21)</f>
        <v>1</v>
      </c>
      <c r="K21" s="11">
        <f> (0.0193 * H23) + (0.1192 *H22) + (0.9505 * H21)</f>
        <v>1.089</v>
      </c>
      <c r="L21" s="12">
        <v>100.0</v>
      </c>
      <c r="M21" s="12">
        <v>0.0</v>
      </c>
      <c r="N21" s="12">
        <v>0.0</v>
      </c>
      <c r="O21" s="4"/>
      <c r="P21" s="4"/>
      <c r="Q21" s="5">
        <v>53.039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D22" s="5" t="s">
        <v>24</v>
      </c>
      <c r="E22" s="6" t="s">
        <v>25</v>
      </c>
      <c r="F22" s="5">
        <v>0.0</v>
      </c>
      <c r="G22" s="5" t="s">
        <v>23</v>
      </c>
      <c r="H22" s="4">
        <f t="shared" si="3"/>
        <v>1</v>
      </c>
      <c r="V22" s="4"/>
      <c r="W22" s="4"/>
      <c r="X22" s="4"/>
      <c r="Y22" s="4"/>
      <c r="Z22" s="4"/>
      <c r="AA22" s="4"/>
      <c r="AB22" s="4"/>
      <c r="AC22" s="4"/>
    </row>
    <row r="23">
      <c r="A23" s="7"/>
      <c r="C23" s="7"/>
      <c r="D23" s="8" t="s">
        <v>26</v>
      </c>
      <c r="E23" s="9" t="s">
        <v>27</v>
      </c>
      <c r="F23" s="8">
        <v>0.0</v>
      </c>
      <c r="G23" s="8" t="s">
        <v>23</v>
      </c>
      <c r="H23" s="10">
        <f t="shared" si="3"/>
        <v>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4"/>
      <c r="W23" s="4"/>
      <c r="X23" s="4"/>
      <c r="Y23" s="4"/>
      <c r="Z23" s="4"/>
      <c r="AA23" s="4"/>
      <c r="AB23" s="4"/>
      <c r="AC23" s="4"/>
    </row>
    <row r="24">
      <c r="A24" s="5" t="s">
        <v>29</v>
      </c>
      <c r="C24" s="5">
        <v>1.0</v>
      </c>
      <c r="D24" s="5" t="s">
        <v>21</v>
      </c>
      <c r="E24" s="6" t="s">
        <v>22</v>
      </c>
      <c r="F24" s="5">
        <v>0.424</v>
      </c>
      <c r="G24" s="5" t="s">
        <v>32</v>
      </c>
      <c r="H24" s="4">
        <f t="shared" si="3"/>
        <v>0.376703799</v>
      </c>
      <c r="I24" s="11">
        <f> (0.4124 * H26) + (0.3576 * H25) + (0.1805 * H24)</f>
        <v>0.1804347011</v>
      </c>
      <c r="J24" s="11">
        <f> (0.2126 * H26) + (0.7152 * H25) + (0.0722 * H24)</f>
        <v>0.2130927233</v>
      </c>
      <c r="K24" s="11">
        <f> (0.0193 * H26) + (0.1192 *H25) + (0.9505 * H24)</f>
        <v>0.388012049</v>
      </c>
      <c r="L24" s="12">
        <v>53.29</v>
      </c>
      <c r="M24" s="12">
        <v>-11.29</v>
      </c>
      <c r="N24" s="12">
        <v>-22.33</v>
      </c>
      <c r="O24" s="4"/>
      <c r="P24" s="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D25" s="5" t="s">
        <v>24</v>
      </c>
      <c r="E25" s="6" t="s">
        <v>25</v>
      </c>
      <c r="F25" s="5">
        <v>0.618</v>
      </c>
      <c r="G25" s="5" t="s">
        <v>23</v>
      </c>
      <c r="H25" s="4">
        <f t="shared" si="3"/>
        <v>0.2409905429</v>
      </c>
      <c r="V25" s="4"/>
      <c r="W25" s="4"/>
      <c r="X25" s="4"/>
      <c r="Y25" s="4"/>
      <c r="Z25" s="4"/>
      <c r="AA25" s="4"/>
      <c r="AB25" s="4"/>
      <c r="AC25" s="4"/>
    </row>
    <row r="26">
      <c r="C26" s="7"/>
      <c r="D26" s="8" t="s">
        <v>26</v>
      </c>
      <c r="E26" s="9" t="s">
        <v>27</v>
      </c>
      <c r="F26" s="8">
        <v>1.196</v>
      </c>
      <c r="G26" s="8" t="s">
        <v>23</v>
      </c>
      <c r="H26" s="10">
        <f t="shared" si="3"/>
        <v>0.06367955209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4"/>
      <c r="W26" s="4"/>
      <c r="X26" s="4"/>
      <c r="Y26" s="4"/>
      <c r="Z26" s="4"/>
      <c r="AA26" s="4"/>
      <c r="AB26" s="4"/>
      <c r="AC26" s="4"/>
    </row>
    <row r="27">
      <c r="C27" s="5">
        <v>2.0</v>
      </c>
      <c r="D27" s="5" t="s">
        <v>21</v>
      </c>
      <c r="E27" s="6" t="s">
        <v>22</v>
      </c>
      <c r="F27" s="5">
        <v>0.415</v>
      </c>
      <c r="G27" s="5" t="s">
        <v>32</v>
      </c>
      <c r="H27" s="4">
        <f t="shared" si="3"/>
        <v>0.384591782</v>
      </c>
      <c r="I27" s="11">
        <f> (0.4124 * H29) + (0.3576 * H28) + (0.1805 * H27)</f>
        <v>0.168534493</v>
      </c>
      <c r="J27" s="11">
        <f> (0.2126 * H29) + (0.7152 * H28) + (0.0722 * H27)</f>
        <v>0.2076802353</v>
      </c>
      <c r="K27" s="11">
        <f> (0.0193 * H29) + (0.1192 *H28) + (0.9505 * H27)</f>
        <v>0.3950571882</v>
      </c>
      <c r="L27" s="12">
        <v>52.69</v>
      </c>
      <c r="M27" s="12">
        <v>-15.2</v>
      </c>
      <c r="N27" s="12">
        <v>-24.21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D28" s="5" t="s">
        <v>24</v>
      </c>
      <c r="E28" s="6" t="s">
        <v>25</v>
      </c>
      <c r="F28" s="5">
        <v>0.615</v>
      </c>
      <c r="G28" s="5" t="s">
        <v>23</v>
      </c>
      <c r="H28" s="4">
        <f t="shared" si="3"/>
        <v>0.2426610095</v>
      </c>
      <c r="V28" s="4"/>
      <c r="W28" s="4"/>
      <c r="X28" s="4"/>
      <c r="Y28" s="4"/>
      <c r="Z28" s="4"/>
      <c r="AA28" s="4"/>
      <c r="AB28" s="4"/>
      <c r="AC28" s="4"/>
    </row>
    <row r="29">
      <c r="C29" s="7"/>
      <c r="D29" s="8" t="s">
        <v>26</v>
      </c>
      <c r="E29" s="9" t="s">
        <v>27</v>
      </c>
      <c r="F29" s="8">
        <v>1.524</v>
      </c>
      <c r="G29" s="8" t="s">
        <v>23</v>
      </c>
      <c r="H29" s="10">
        <f t="shared" si="3"/>
        <v>0.02992264637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4"/>
      <c r="W29" s="4"/>
      <c r="X29" s="4"/>
      <c r="Y29" s="4"/>
      <c r="Z29" s="4"/>
      <c r="AA29" s="4"/>
      <c r="AB29" s="4"/>
      <c r="AC29" s="4"/>
    </row>
    <row r="30">
      <c r="C30" s="5">
        <v>3.0</v>
      </c>
      <c r="D30" s="5" t="s">
        <v>21</v>
      </c>
      <c r="E30" s="6" t="s">
        <v>22</v>
      </c>
      <c r="F30" s="5">
        <v>0.375</v>
      </c>
      <c r="G30" s="5" t="s">
        <v>32</v>
      </c>
      <c r="H30" s="4">
        <f t="shared" si="3"/>
        <v>0.4216965034</v>
      </c>
      <c r="I30" s="11">
        <f> (0.4124 * H32) + (0.3576 * H31) + (0.1805 * H30)</f>
        <v>0.2179682323</v>
      </c>
      <c r="J30" s="11">
        <f> (0.2126 * H32) + (0.7152 * H31) + (0.0722 * H30)</f>
        <v>0.2584456238</v>
      </c>
      <c r="K30" s="11">
        <f> (0.0193 * H32) + (0.1192 *H31) + (0.9505 * H30)</f>
        <v>0.4373543891</v>
      </c>
      <c r="L30" s="12">
        <v>57.89</v>
      </c>
      <c r="M30" s="12">
        <v>-12.44</v>
      </c>
      <c r="N30" s="12">
        <v>-20.17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D31" s="5" t="s">
        <v>24</v>
      </c>
      <c r="E31" s="6" t="s">
        <v>25</v>
      </c>
      <c r="F31" s="5">
        <v>0.535</v>
      </c>
      <c r="G31" s="5" t="s">
        <v>23</v>
      </c>
      <c r="H31" s="4">
        <f t="shared" si="3"/>
        <v>0.2917427014</v>
      </c>
      <c r="V31" s="4"/>
      <c r="W31" s="4"/>
      <c r="X31" s="4"/>
      <c r="Y31" s="4"/>
      <c r="Z31" s="4"/>
      <c r="AA31" s="4"/>
      <c r="AB31" s="4"/>
      <c r="AC31" s="4"/>
    </row>
    <row r="32">
      <c r="C32" s="7"/>
      <c r="D32" s="8" t="s">
        <v>26</v>
      </c>
      <c r="E32" s="9" t="s">
        <v>27</v>
      </c>
      <c r="F32" s="8">
        <v>1.041</v>
      </c>
      <c r="G32" s="8" t="s">
        <v>23</v>
      </c>
      <c r="H32" s="10">
        <f t="shared" si="3"/>
        <v>0.09099132726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4"/>
      <c r="W32" s="4"/>
      <c r="X32" s="4"/>
      <c r="Y32" s="4"/>
      <c r="Z32" s="4"/>
      <c r="AA32" s="4"/>
      <c r="AB32" s="4"/>
      <c r="AC32" s="4"/>
    </row>
    <row r="33">
      <c r="C33" s="5">
        <v>4.0</v>
      </c>
      <c r="D33" s="5" t="s">
        <v>21</v>
      </c>
      <c r="E33" s="6" t="s">
        <v>22</v>
      </c>
      <c r="F33" s="5">
        <v>0.456</v>
      </c>
      <c r="G33" s="5" t="s">
        <v>32</v>
      </c>
      <c r="H33" s="4">
        <f t="shared" si="3"/>
        <v>0.349945167</v>
      </c>
      <c r="I33" s="11">
        <f> (0.4124 * H35) + (0.3576 * H34) + (0.1805 * H33)</f>
        <v>0.1653611798</v>
      </c>
      <c r="J33" s="11">
        <f> (0.2126 * H35) + (0.7152 * H34) + (0.0722 * H33)</f>
        <v>0.1904033451</v>
      </c>
      <c r="K33" s="11">
        <f> (0.0193 * H35) + (0.1192 *H34) + (0.9505 * H33)</f>
        <v>0.3591112805</v>
      </c>
      <c r="L33" s="12">
        <v>50.73</v>
      </c>
      <c r="M33" s="12">
        <v>-8.52</v>
      </c>
      <c r="N33" s="12">
        <v>-23.12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D34" s="5" t="s">
        <v>24</v>
      </c>
      <c r="E34" s="6" t="s">
        <v>25</v>
      </c>
      <c r="F34" s="5">
        <v>0.674</v>
      </c>
      <c r="G34" s="5" t="s">
        <v>23</v>
      </c>
      <c r="H34" s="4">
        <f t="shared" si="3"/>
        <v>0.2118361135</v>
      </c>
      <c r="V34" s="4"/>
      <c r="W34" s="4"/>
      <c r="X34" s="4"/>
      <c r="Y34" s="4"/>
      <c r="Z34" s="4"/>
      <c r="AA34" s="4"/>
      <c r="AB34" s="4"/>
      <c r="AC34" s="4"/>
    </row>
    <row r="35">
      <c r="C35" s="7"/>
      <c r="D35" s="8" t="s">
        <v>26</v>
      </c>
      <c r="E35" s="9" t="s">
        <v>27</v>
      </c>
      <c r="F35" s="8">
        <v>1.193</v>
      </c>
      <c r="G35" s="8" t="s">
        <v>23</v>
      </c>
      <c r="H35" s="10">
        <f t="shared" si="3"/>
        <v>0.06412095766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4"/>
      <c r="W35" s="4"/>
      <c r="X35" s="4"/>
      <c r="Y35" s="4"/>
      <c r="Z35" s="4"/>
      <c r="AA35" s="4"/>
      <c r="AB35" s="4"/>
      <c r="AC35" s="4"/>
    </row>
    <row r="36">
      <c r="C36" s="5">
        <v>5.0</v>
      </c>
      <c r="D36" s="5" t="s">
        <v>21</v>
      </c>
      <c r="E36" s="6" t="s">
        <v>22</v>
      </c>
      <c r="F36" s="5">
        <v>0.413</v>
      </c>
      <c r="G36" s="5" t="s">
        <v>32</v>
      </c>
      <c r="H36" s="4">
        <f t="shared" si="3"/>
        <v>0.3863669771</v>
      </c>
      <c r="I36" s="11">
        <f> (0.4124 * H38) + (0.3576 * H37) + (0.1805 * H36)</f>
        <v>0.177962884</v>
      </c>
      <c r="J36" s="11">
        <f> (0.2126 * H38) + (0.7152 * H37) + (0.0722 * H36)</f>
        <v>0.2128006875</v>
      </c>
      <c r="K36" s="11">
        <f> (0.0193 * H38) + (0.1192 *H37) + (0.9505 * H36)</f>
        <v>0.3972280748</v>
      </c>
      <c r="L36" s="12">
        <v>53.25</v>
      </c>
      <c r="M36" s="12">
        <v>-12.47</v>
      </c>
      <c r="N36" s="12">
        <v>-23.5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D37" s="5" t="s">
        <v>24</v>
      </c>
      <c r="E37" s="6" t="s">
        <v>25</v>
      </c>
      <c r="F37" s="5">
        <v>0.614</v>
      </c>
      <c r="G37" s="5" t="s">
        <v>23</v>
      </c>
      <c r="H37" s="4">
        <f t="shared" si="3"/>
        <v>0.2432204009</v>
      </c>
      <c r="V37" s="4"/>
      <c r="W37" s="4"/>
      <c r="X37" s="4"/>
      <c r="Y37" s="4"/>
      <c r="Z37" s="4"/>
      <c r="AA37" s="4"/>
      <c r="AB37" s="4"/>
      <c r="AC37" s="4"/>
    </row>
    <row r="38">
      <c r="A38" s="7"/>
      <c r="B38" s="7"/>
      <c r="C38" s="7"/>
      <c r="D38" s="8" t="s">
        <v>26</v>
      </c>
      <c r="E38" s="9" t="s">
        <v>27</v>
      </c>
      <c r="F38" s="8">
        <v>1.288</v>
      </c>
      <c r="G38" s="8" t="s">
        <v>23</v>
      </c>
      <c r="H38" s="10">
        <f t="shared" si="3"/>
        <v>0.05152286446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4"/>
      <c r="W38" s="4"/>
      <c r="X38" s="4"/>
      <c r="Y38" s="4"/>
      <c r="Z38" s="4"/>
      <c r="AA38" s="4"/>
      <c r="AB38" s="4"/>
      <c r="AC38" s="4"/>
    </row>
    <row r="39">
      <c r="A39" s="13" t="s">
        <v>33</v>
      </c>
      <c r="B39" s="14"/>
      <c r="C39" s="14"/>
      <c r="D39" s="14"/>
      <c r="E39" s="14"/>
      <c r="F39" s="14"/>
      <c r="G39" s="14"/>
      <c r="H39" s="14"/>
      <c r="I39" s="14"/>
      <c r="J39" s="14"/>
      <c r="K39" s="15"/>
      <c r="L39" s="16">
        <f t="shared" ref="L39:N39" si="4">AVERAGE(L24:L38)</f>
        <v>53.57</v>
      </c>
      <c r="M39" s="16">
        <f t="shared" si="4"/>
        <v>-11.984</v>
      </c>
      <c r="N39" s="16">
        <f t="shared" si="4"/>
        <v>-22.666</v>
      </c>
      <c r="O39" s="10"/>
      <c r="P39" s="10"/>
      <c r="Q39" s="10"/>
      <c r="R39" s="8">
        <v>12.532</v>
      </c>
      <c r="S39" s="10"/>
      <c r="T39" s="10"/>
      <c r="U39" s="10"/>
      <c r="V39" s="4"/>
      <c r="W39" s="4"/>
      <c r="X39" s="4"/>
      <c r="Y39" s="4"/>
      <c r="Z39" s="4"/>
      <c r="AA39" s="4"/>
      <c r="AB39" s="4"/>
      <c r="AC39" s="4"/>
    </row>
    <row r="40">
      <c r="A40" s="5" t="s">
        <v>20</v>
      </c>
      <c r="B40" s="5">
        <v>7.0</v>
      </c>
      <c r="C40" s="5">
        <v>0.0</v>
      </c>
      <c r="D40" s="5" t="s">
        <v>21</v>
      </c>
      <c r="E40" s="6" t="s">
        <v>22</v>
      </c>
      <c r="F40" s="5">
        <v>0.0</v>
      </c>
      <c r="G40" s="5" t="s">
        <v>23</v>
      </c>
      <c r="H40" s="4">
        <f t="shared" ref="H40:H57" si="5">10^-F40</f>
        <v>1</v>
      </c>
      <c r="I40" s="11">
        <f> (0.4124 * H42) + (0.3576 * H41) + (0.1805 * H40)</f>
        <v>0.9505</v>
      </c>
      <c r="J40" s="11">
        <f> (0.2126 * H42) + (0.7152 * H41) + (0.0722 * H40)</f>
        <v>1</v>
      </c>
      <c r="K40" s="11">
        <f> (0.0193 * H42) + (0.1192 *H41) + (0.9505 * H40)</f>
        <v>1.089</v>
      </c>
      <c r="L40" s="12"/>
      <c r="M40" s="12">
        <v>0.0</v>
      </c>
      <c r="N40" s="12">
        <v>0.0</v>
      </c>
      <c r="O40" s="4"/>
      <c r="P40" s="4"/>
      <c r="Q40" s="5"/>
      <c r="R40" s="5">
        <v>57.187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D41" s="5" t="s">
        <v>24</v>
      </c>
      <c r="E41" s="6" t="s">
        <v>25</v>
      </c>
      <c r="F41" s="5">
        <v>0.0</v>
      </c>
      <c r="G41" s="5" t="s">
        <v>23</v>
      </c>
      <c r="H41" s="4">
        <f t="shared" si="5"/>
        <v>1</v>
      </c>
      <c r="V41" s="4"/>
      <c r="W41" s="4"/>
      <c r="X41" s="4"/>
      <c r="Y41" s="4"/>
      <c r="Z41" s="4"/>
      <c r="AA41" s="4"/>
      <c r="AB41" s="4"/>
      <c r="AC41" s="4"/>
    </row>
    <row r="42">
      <c r="A42" s="7"/>
      <c r="C42" s="7"/>
      <c r="D42" s="8" t="s">
        <v>26</v>
      </c>
      <c r="E42" s="9" t="s">
        <v>27</v>
      </c>
      <c r="F42" s="8">
        <v>0.0</v>
      </c>
      <c r="G42" s="8" t="s">
        <v>23</v>
      </c>
      <c r="H42" s="10">
        <f t="shared" si="5"/>
        <v>1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4"/>
      <c r="W42" s="4"/>
      <c r="X42" s="4"/>
      <c r="Y42" s="4"/>
      <c r="Z42" s="4"/>
      <c r="AA42" s="4"/>
      <c r="AB42" s="4"/>
      <c r="AC42" s="4"/>
    </row>
    <row r="43">
      <c r="A43" s="5" t="s">
        <v>29</v>
      </c>
      <c r="C43" s="5">
        <v>1.0</v>
      </c>
      <c r="D43" s="5" t="s">
        <v>21</v>
      </c>
      <c r="E43" s="6" t="s">
        <v>22</v>
      </c>
      <c r="F43" s="5">
        <v>0.561</v>
      </c>
      <c r="G43" s="5" t="s">
        <v>23</v>
      </c>
      <c r="H43" s="4">
        <f t="shared" si="5"/>
        <v>0.2747894153</v>
      </c>
      <c r="I43" s="11">
        <f> (0.4124 * H45) + (0.3576 * H44) + (0.1805 * H43)</f>
        <v>0.1520894423</v>
      </c>
      <c r="J43" s="11">
        <f> (0.2126 * H45) + (0.7152 * H44) + (0.0722 * H43)</f>
        <v>0.1459530639</v>
      </c>
      <c r="K43" s="11">
        <f> (0.0193 * H45) + (0.1192 *H44) + (0.9505 * H43)</f>
        <v>0.2801278413</v>
      </c>
      <c r="L43" s="12">
        <v>45.07</v>
      </c>
      <c r="M43" s="12">
        <v>8.2</v>
      </c>
      <c r="N43" s="12">
        <v>-21.9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D44" s="5" t="s">
        <v>24</v>
      </c>
      <c r="E44" s="6" t="s">
        <v>25</v>
      </c>
      <c r="F44" s="5">
        <v>0.86</v>
      </c>
      <c r="G44" s="5" t="s">
        <v>23</v>
      </c>
      <c r="H44" s="4">
        <f t="shared" si="5"/>
        <v>0.1380384265</v>
      </c>
      <c r="V44" s="4"/>
      <c r="W44" s="4"/>
      <c r="X44" s="4"/>
      <c r="Y44" s="4"/>
      <c r="Z44" s="4"/>
      <c r="AA44" s="4"/>
      <c r="AB44" s="4"/>
      <c r="AC44" s="4"/>
    </row>
    <row r="45">
      <c r="C45" s="7"/>
      <c r="D45" s="8" t="s">
        <v>26</v>
      </c>
      <c r="E45" s="9" t="s">
        <v>27</v>
      </c>
      <c r="F45" s="8">
        <v>0.89</v>
      </c>
      <c r="G45" s="8" t="s">
        <v>23</v>
      </c>
      <c r="H45" s="10">
        <f t="shared" si="5"/>
        <v>0.1288249552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4"/>
      <c r="W45" s="4"/>
      <c r="X45" s="4"/>
      <c r="Y45" s="4"/>
      <c r="Z45" s="4"/>
      <c r="AA45" s="4"/>
      <c r="AB45" s="4"/>
      <c r="AC45" s="4"/>
    </row>
    <row r="46">
      <c r="C46" s="5">
        <v>2.0</v>
      </c>
      <c r="D46" s="5" t="s">
        <v>21</v>
      </c>
      <c r="E46" s="6" t="s">
        <v>22</v>
      </c>
      <c r="F46" s="5">
        <v>0.436</v>
      </c>
      <c r="G46" s="5" t="s">
        <v>23</v>
      </c>
      <c r="H46" s="4">
        <f t="shared" si="5"/>
        <v>0.3664375746</v>
      </c>
      <c r="I46" s="11">
        <f> (0.4124 * H48) + (0.3576 * H47) + (0.1805 * H46)</f>
        <v>0.1889569283</v>
      </c>
      <c r="J46" s="11">
        <f> (0.2126 * H48) + (0.7152 * H47) + (0.0722 * H46)</f>
        <v>0.1991588494</v>
      </c>
      <c r="K46" s="11">
        <f> (0.0193 * H48) + (0.1192 *H47) + (0.9505 * H46)</f>
        <v>0.3751607203</v>
      </c>
      <c r="L46" s="12">
        <v>51.74</v>
      </c>
      <c r="M46" s="12">
        <v>-0.17</v>
      </c>
      <c r="N46" s="12">
        <v>-23.41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D47" s="5" t="s">
        <v>24</v>
      </c>
      <c r="E47" s="6" t="s">
        <v>25</v>
      </c>
      <c r="F47" s="5">
        <v>0.686</v>
      </c>
      <c r="G47" s="5" t="s">
        <v>23</v>
      </c>
      <c r="H47" s="4">
        <f t="shared" si="5"/>
        <v>0.2060629913</v>
      </c>
      <c r="V47" s="4"/>
      <c r="W47" s="4"/>
      <c r="X47" s="4"/>
      <c r="Y47" s="4"/>
      <c r="Z47" s="4"/>
      <c r="AA47" s="4"/>
      <c r="AB47" s="4"/>
      <c r="AC47" s="4"/>
    </row>
    <row r="48">
      <c r="C48" s="7"/>
      <c r="D48" s="8" t="s">
        <v>26</v>
      </c>
      <c r="E48" s="9" t="s">
        <v>27</v>
      </c>
      <c r="F48" s="8">
        <v>0.924</v>
      </c>
      <c r="G48" s="8" t="s">
        <v>23</v>
      </c>
      <c r="H48" s="10">
        <f t="shared" si="5"/>
        <v>0.1191242008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4"/>
      <c r="W48" s="4"/>
      <c r="X48" s="4"/>
      <c r="Y48" s="4"/>
      <c r="Z48" s="4"/>
      <c r="AA48" s="4"/>
      <c r="AB48" s="4"/>
      <c r="AC48" s="4"/>
    </row>
    <row r="49">
      <c r="C49" s="5">
        <v>3.0</v>
      </c>
      <c r="D49" s="5" t="s">
        <v>21</v>
      </c>
      <c r="E49" s="6" t="s">
        <v>22</v>
      </c>
      <c r="F49" s="5">
        <v>0.566</v>
      </c>
      <c r="G49" s="5" t="s">
        <v>23</v>
      </c>
      <c r="H49" s="4">
        <f t="shared" si="5"/>
        <v>0.2716439269</v>
      </c>
      <c r="I49" s="11">
        <f> (0.4124 * H51) + (0.3576 * H50) + (0.1805 * H49)</f>
        <v>0.1589186205</v>
      </c>
      <c r="J49" s="11">
        <f> (0.2126 * H51) + (0.7152 * H50) + (0.0722 * H49)</f>
        <v>0.1467262553</v>
      </c>
      <c r="K49" s="11">
        <f> (0.0193 * H51) + (0.1192 *H50) + (0.9505 * H49)</f>
        <v>0.2769412676</v>
      </c>
      <c r="L49" s="12">
        <v>45.18</v>
      </c>
      <c r="M49" s="12">
        <v>11.74</v>
      </c>
      <c r="N49" s="12">
        <v>-21.23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D50" s="5" t="s">
        <v>24</v>
      </c>
      <c r="E50" s="6" t="s">
        <v>25</v>
      </c>
      <c r="F50" s="5">
        <v>0.877</v>
      </c>
      <c r="G50" s="5" t="s">
        <v>23</v>
      </c>
      <c r="H50" s="4">
        <f t="shared" si="5"/>
        <v>0.1327394458</v>
      </c>
      <c r="V50" s="4"/>
      <c r="W50" s="4"/>
      <c r="X50" s="4"/>
      <c r="Y50" s="4"/>
      <c r="Z50" s="4"/>
      <c r="AA50" s="4"/>
      <c r="AB50" s="4"/>
      <c r="AC50" s="4"/>
    </row>
    <row r="51">
      <c r="C51" s="7"/>
      <c r="D51" s="8" t="s">
        <v>26</v>
      </c>
      <c r="E51" s="9" t="s">
        <v>27</v>
      </c>
      <c r="F51" s="8">
        <v>0.82</v>
      </c>
      <c r="G51" s="8" t="s">
        <v>23</v>
      </c>
      <c r="H51" s="10">
        <f t="shared" si="5"/>
        <v>0.1513561248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4"/>
      <c r="W51" s="4"/>
      <c r="X51" s="4"/>
      <c r="Y51" s="4"/>
      <c r="Z51" s="4"/>
      <c r="AA51" s="4"/>
      <c r="AB51" s="4"/>
      <c r="AC51" s="4"/>
    </row>
    <row r="52">
      <c r="C52" s="5">
        <v>4.0</v>
      </c>
      <c r="D52" s="5" t="s">
        <v>21</v>
      </c>
      <c r="E52" s="6" t="s">
        <v>22</v>
      </c>
      <c r="F52" s="5">
        <v>0.495</v>
      </c>
      <c r="G52" s="5" t="s">
        <v>23</v>
      </c>
      <c r="H52" s="4">
        <f t="shared" si="5"/>
        <v>0.319889511</v>
      </c>
      <c r="I52" s="11">
        <f> (0.4124 * H54) + (0.3576 * H53) + (0.1805 * H52)</f>
        <v>0.1727887555</v>
      </c>
      <c r="J52" s="11">
        <f> (0.2126 * H54) + (0.7152 * H53) + (0.0722 * H52)</f>
        <v>0.1748696968</v>
      </c>
      <c r="K52" s="11">
        <f> (0.0193 * H54) + (0.1192 *H53) + (0.9505 * H52)</f>
        <v>0.327286524</v>
      </c>
      <c r="L52" s="12">
        <v>48.87</v>
      </c>
      <c r="M52" s="12">
        <v>3.64</v>
      </c>
      <c r="N52" s="12">
        <v>-22.13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D53" s="5" t="s">
        <v>24</v>
      </c>
      <c r="E53" s="6" t="s">
        <v>25</v>
      </c>
      <c r="F53" s="5">
        <v>0.759</v>
      </c>
      <c r="G53" s="5" t="s">
        <v>23</v>
      </c>
      <c r="H53" s="4">
        <f t="shared" si="5"/>
        <v>0.1741806873</v>
      </c>
      <c r="V53" s="4"/>
      <c r="W53" s="4"/>
      <c r="X53" s="4"/>
      <c r="Y53" s="4"/>
      <c r="Z53" s="4"/>
      <c r="AA53" s="4"/>
      <c r="AB53" s="4"/>
      <c r="AC53" s="4"/>
    </row>
    <row r="54">
      <c r="C54" s="7"/>
      <c r="D54" s="8" t="s">
        <v>26</v>
      </c>
      <c r="E54" s="9" t="s">
        <v>27</v>
      </c>
      <c r="F54" s="8">
        <v>0.893</v>
      </c>
      <c r="G54" s="8" t="s">
        <v>23</v>
      </c>
      <c r="H54" s="10">
        <f t="shared" si="5"/>
        <v>0.1279381304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4"/>
      <c r="W54" s="4"/>
      <c r="X54" s="4"/>
      <c r="Y54" s="4"/>
      <c r="Z54" s="4"/>
      <c r="AA54" s="4"/>
      <c r="AB54" s="4"/>
      <c r="AC54" s="4"/>
    </row>
    <row r="55">
      <c r="C55" s="5">
        <v>5.0</v>
      </c>
      <c r="D55" s="5" t="s">
        <v>21</v>
      </c>
      <c r="E55" s="6" t="s">
        <v>22</v>
      </c>
      <c r="F55" s="5">
        <v>0.515</v>
      </c>
      <c r="G55" s="5" t="s">
        <v>23</v>
      </c>
      <c r="H55" s="4">
        <f t="shared" si="5"/>
        <v>0.3054921113</v>
      </c>
      <c r="I55" s="11">
        <f> (0.4124 * H57) + (0.3576 * H56) + (0.1805 * H55)</f>
        <v>0.1616193772</v>
      </c>
      <c r="J55" s="11">
        <f> (0.2126 * H57) + (0.7152 * H56) + (0.0722 * H55)</f>
        <v>0.1622525262</v>
      </c>
      <c r="K55" s="11">
        <f> (0.0193 * H57) + (0.1192 *H56) + (0.9505 * H55)</f>
        <v>0.3118188008</v>
      </c>
      <c r="L55" s="12">
        <v>47.27</v>
      </c>
      <c r="M55" s="12">
        <v>4.3</v>
      </c>
      <c r="N55" s="12">
        <v>-22.75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D56" s="5" t="s">
        <v>24</v>
      </c>
      <c r="E56" s="6" t="s">
        <v>25</v>
      </c>
      <c r="F56" s="5">
        <v>0.794</v>
      </c>
      <c r="G56" s="5" t="s">
        <v>23</v>
      </c>
      <c r="H56" s="4">
        <f t="shared" si="5"/>
        <v>0.1606941253</v>
      </c>
      <c r="V56" s="4"/>
      <c r="W56" s="4"/>
      <c r="X56" s="4"/>
      <c r="Y56" s="4"/>
      <c r="Z56" s="4"/>
      <c r="AA56" s="4"/>
      <c r="AB56" s="4"/>
      <c r="AC56" s="4"/>
    </row>
    <row r="57">
      <c r="A57" s="7"/>
      <c r="B57" s="7"/>
      <c r="C57" s="7"/>
      <c r="D57" s="8" t="s">
        <v>26</v>
      </c>
      <c r="E57" s="9" t="s">
        <v>27</v>
      </c>
      <c r="F57" s="8">
        <v>0.925</v>
      </c>
      <c r="G57" s="8" t="s">
        <v>23</v>
      </c>
      <c r="H57" s="10">
        <f t="shared" si="5"/>
        <v>0.1188502227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4"/>
      <c r="W57" s="4"/>
      <c r="X57" s="4"/>
      <c r="Y57" s="4"/>
      <c r="Z57" s="4"/>
      <c r="AA57" s="4"/>
      <c r="AB57" s="4"/>
      <c r="AC57" s="4"/>
    </row>
    <row r="58">
      <c r="A58" s="13" t="s">
        <v>33</v>
      </c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17">
        <f t="shared" ref="L58:N58" si="6">AVERAGE(L43:L57)</f>
        <v>47.626</v>
      </c>
      <c r="M58" s="16">
        <f t="shared" si="6"/>
        <v>5.542</v>
      </c>
      <c r="N58" s="17">
        <f t="shared" si="6"/>
        <v>-22.284</v>
      </c>
      <c r="O58" s="10"/>
      <c r="P58" s="10"/>
      <c r="Q58" s="10"/>
      <c r="R58" s="10"/>
      <c r="S58" s="8">
        <v>14.886</v>
      </c>
      <c r="T58" s="10"/>
      <c r="U58" s="10"/>
      <c r="V58" s="4"/>
      <c r="W58" s="4"/>
      <c r="X58" s="4"/>
      <c r="Y58" s="4"/>
      <c r="Z58" s="4"/>
      <c r="AA58" s="4"/>
      <c r="AB58" s="4"/>
      <c r="AC58" s="4"/>
    </row>
    <row r="59">
      <c r="A59" s="5" t="s">
        <v>20</v>
      </c>
      <c r="B59" s="5">
        <v>7.5</v>
      </c>
      <c r="C59" s="5">
        <v>0.0</v>
      </c>
      <c r="D59" s="5" t="s">
        <v>21</v>
      </c>
      <c r="E59" s="6" t="s">
        <v>22</v>
      </c>
      <c r="F59" s="5">
        <v>0.0</v>
      </c>
      <c r="G59" s="5" t="s">
        <v>23</v>
      </c>
      <c r="H59" s="4">
        <f t="shared" ref="H59:H76" si="7">10^-F59</f>
        <v>1</v>
      </c>
      <c r="I59" s="11">
        <f> (0.4124 * H61) + (0.3576 * H60) + (0.1805 * H59)</f>
        <v>0.9505</v>
      </c>
      <c r="J59" s="11">
        <f> (0.2126 * H61) + (0.7152 * H60) + (0.0722 * H59)</f>
        <v>1</v>
      </c>
      <c r="K59" s="11">
        <f> (0.0193 * H61) + (0.1192 *H60) + (0.9505 * H59)</f>
        <v>1.089</v>
      </c>
      <c r="L59" s="12">
        <v>100.0</v>
      </c>
      <c r="M59" s="12">
        <v>0.0</v>
      </c>
      <c r="N59" s="12">
        <v>0.0</v>
      </c>
      <c r="O59" s="4"/>
      <c r="P59" s="4"/>
      <c r="Q59" s="4"/>
      <c r="R59" s="4"/>
      <c r="S59" s="5">
        <v>52.117</v>
      </c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D60" s="5" t="s">
        <v>24</v>
      </c>
      <c r="E60" s="6" t="s">
        <v>25</v>
      </c>
      <c r="F60" s="5">
        <v>0.0</v>
      </c>
      <c r="G60" s="5" t="s">
        <v>23</v>
      </c>
      <c r="H60" s="4">
        <f t="shared" si="7"/>
        <v>1</v>
      </c>
      <c r="V60" s="4"/>
      <c r="W60" s="4"/>
      <c r="X60" s="4"/>
      <c r="Y60" s="4"/>
      <c r="Z60" s="4"/>
      <c r="AA60" s="4"/>
      <c r="AB60" s="4"/>
      <c r="AC60" s="4"/>
    </row>
    <row r="61">
      <c r="A61" s="7"/>
      <c r="C61" s="7"/>
      <c r="D61" s="8" t="s">
        <v>26</v>
      </c>
      <c r="E61" s="9" t="s">
        <v>27</v>
      </c>
      <c r="F61" s="8">
        <v>0.0</v>
      </c>
      <c r="G61" s="8" t="s">
        <v>23</v>
      </c>
      <c r="H61" s="10">
        <f t="shared" si="7"/>
        <v>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4"/>
      <c r="W61" s="4"/>
      <c r="X61" s="4"/>
      <c r="Y61" s="4"/>
      <c r="Z61" s="4"/>
      <c r="AA61" s="4"/>
      <c r="AB61" s="4"/>
      <c r="AC61" s="4"/>
    </row>
    <row r="62">
      <c r="A62" s="5" t="s">
        <v>29</v>
      </c>
      <c r="C62" s="5">
        <v>1.0</v>
      </c>
      <c r="D62" s="5" t="s">
        <v>21</v>
      </c>
      <c r="E62" s="6" t="s">
        <v>22</v>
      </c>
      <c r="F62" s="5">
        <v>0.385</v>
      </c>
      <c r="G62" s="5" t="s">
        <v>23</v>
      </c>
      <c r="H62" s="4">
        <f t="shared" si="7"/>
        <v>0.4120975191</v>
      </c>
      <c r="I62" s="11">
        <f> (0.4124 * H64) + (0.3576 * H63) + (0.1805 * H62)</f>
        <v>0.2202262971</v>
      </c>
      <c r="J62" s="11">
        <f> (0.2126 * H64) + (0.7152 * H63) + (0.0722 * H62)</f>
        <v>0.257333621</v>
      </c>
      <c r="K62" s="11">
        <f> (0.0193 * H64) + (0.1192 *H63) + (0.9505 * H62)</f>
        <v>0.4279393545</v>
      </c>
      <c r="L62" s="12">
        <v>57.78</v>
      </c>
      <c r="M62" s="12">
        <v>-10.93</v>
      </c>
      <c r="N62" s="12">
        <v>-19.29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D63" s="5" t="s">
        <v>24</v>
      </c>
      <c r="E63" s="6" t="s">
        <v>25</v>
      </c>
      <c r="F63" s="5">
        <v>0.542</v>
      </c>
      <c r="G63" s="5" t="s">
        <v>23</v>
      </c>
      <c r="H63" s="4">
        <f t="shared" si="7"/>
        <v>0.2870780582</v>
      </c>
      <c r="V63" s="4"/>
      <c r="W63" s="4"/>
      <c r="X63" s="4"/>
      <c r="Y63" s="4"/>
      <c r="Z63" s="4"/>
      <c r="AA63" s="4"/>
      <c r="AB63" s="4"/>
      <c r="AC63" s="4"/>
    </row>
    <row r="64">
      <c r="C64" s="7"/>
      <c r="D64" s="8" t="s">
        <v>26</v>
      </c>
      <c r="E64" s="9" t="s">
        <v>27</v>
      </c>
      <c r="F64" s="8">
        <v>0.98</v>
      </c>
      <c r="G64" s="8" t="s">
        <v>23</v>
      </c>
      <c r="H64" s="10">
        <f t="shared" si="7"/>
        <v>0.1047128548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4"/>
      <c r="W64" s="4"/>
      <c r="X64" s="4"/>
      <c r="Y64" s="4"/>
      <c r="Z64" s="4"/>
      <c r="AA64" s="4"/>
      <c r="AB64" s="4"/>
      <c r="AC64" s="4"/>
    </row>
    <row r="65">
      <c r="C65" s="5">
        <v>2.0</v>
      </c>
      <c r="D65" s="5" t="s">
        <v>21</v>
      </c>
      <c r="E65" s="6" t="s">
        <v>22</v>
      </c>
      <c r="F65" s="5">
        <v>0.397</v>
      </c>
      <c r="G65" s="5" t="s">
        <v>23</v>
      </c>
      <c r="H65" s="4">
        <f t="shared" si="7"/>
        <v>0.4008667176</v>
      </c>
      <c r="I65" s="11">
        <f> (0.4124 * H67) + (0.3576 * H66) + (0.1805 * H65)</f>
        <v>0.1962526803</v>
      </c>
      <c r="J65" s="11">
        <f> (0.2126 * H67) + (0.7152 * H66) + (0.0722 * H65)</f>
        <v>0.224025015</v>
      </c>
      <c r="K65" s="11">
        <f> (0.0193 * H67) + (0.1192 *H66) + (0.9505 * H65)</f>
        <v>0.4121484849</v>
      </c>
      <c r="L65" s="12">
        <v>54.45</v>
      </c>
      <c r="M65" s="12">
        <v>-8.14</v>
      </c>
      <c r="N65" s="12">
        <v>-23.21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D66" s="5" t="s">
        <v>24</v>
      </c>
      <c r="E66" s="6" t="s">
        <v>25</v>
      </c>
      <c r="F66" s="5">
        <v>0.607</v>
      </c>
      <c r="G66" s="5" t="s">
        <v>23</v>
      </c>
      <c r="H66" s="4">
        <f t="shared" si="7"/>
        <v>0.2471724145</v>
      </c>
      <c r="V66" s="4"/>
      <c r="W66" s="4"/>
      <c r="X66" s="4"/>
      <c r="Y66" s="4"/>
      <c r="Z66" s="4"/>
      <c r="AA66" s="4"/>
      <c r="AB66" s="4"/>
      <c r="AC66" s="4"/>
    </row>
    <row r="67">
      <c r="C67" s="7"/>
      <c r="D67" s="8" t="s">
        <v>26</v>
      </c>
      <c r="E67" s="9" t="s">
        <v>27</v>
      </c>
      <c r="F67" s="8">
        <v>1.065</v>
      </c>
      <c r="G67" s="8" t="s">
        <v>23</v>
      </c>
      <c r="H67" s="10">
        <f t="shared" si="7"/>
        <v>0.08609937522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4"/>
      <c r="W67" s="4"/>
      <c r="X67" s="4"/>
      <c r="Y67" s="4"/>
      <c r="Z67" s="4"/>
      <c r="AA67" s="4"/>
      <c r="AB67" s="4"/>
      <c r="AC67" s="4"/>
    </row>
    <row r="68">
      <c r="C68" s="5">
        <v>3.0</v>
      </c>
      <c r="D68" s="5" t="s">
        <v>21</v>
      </c>
      <c r="E68" s="6" t="s">
        <v>22</v>
      </c>
      <c r="F68" s="5">
        <v>0.428</v>
      </c>
      <c r="G68" s="5" t="s">
        <v>23</v>
      </c>
      <c r="H68" s="4">
        <f t="shared" si="7"/>
        <v>0.3732501578</v>
      </c>
      <c r="I68" s="11">
        <f> (0.4124 * H70) + (0.3576 * H69) + (0.1805 * H68)</f>
        <v>0.1800706394</v>
      </c>
      <c r="J68" s="11">
        <f> (0.2126 * H70) + (0.7152 * H69) + (0.0722 * H68)</f>
        <v>0.2041636901</v>
      </c>
      <c r="K68" s="11">
        <f> (0.0193 * H70) + (0.1192 *H69) + (0.9505 * H68)</f>
        <v>0.3830403459</v>
      </c>
      <c r="L68" s="12">
        <v>52.3</v>
      </c>
      <c r="M68" s="12">
        <v>-7.25</v>
      </c>
      <c r="N68" s="12">
        <v>-23.42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D69" s="5" t="s">
        <v>24</v>
      </c>
      <c r="E69" s="6" t="s">
        <v>25</v>
      </c>
      <c r="F69" s="5">
        <v>0.649</v>
      </c>
      <c r="G69" s="5" t="s">
        <v>23</v>
      </c>
      <c r="H69" s="4">
        <f t="shared" si="7"/>
        <v>0.2243881924</v>
      </c>
      <c r="V69" s="4"/>
      <c r="W69" s="4"/>
      <c r="X69" s="4"/>
      <c r="Y69" s="4"/>
      <c r="Z69" s="4"/>
      <c r="AA69" s="4"/>
      <c r="AB69" s="4"/>
      <c r="AC69" s="4"/>
    </row>
    <row r="70">
      <c r="C70" s="7"/>
      <c r="D70" s="8" t="s">
        <v>26</v>
      </c>
      <c r="E70" s="9" t="s">
        <v>27</v>
      </c>
      <c r="F70" s="8">
        <v>1.104</v>
      </c>
      <c r="G70" s="8" t="s">
        <v>23</v>
      </c>
      <c r="H70" s="10">
        <f t="shared" si="7"/>
        <v>0.07870457897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4"/>
      <c r="W70" s="4"/>
      <c r="X70" s="4"/>
      <c r="Y70" s="4"/>
      <c r="Z70" s="4"/>
      <c r="AA70" s="4"/>
      <c r="AB70" s="4"/>
      <c r="AC70" s="4"/>
    </row>
    <row r="71">
      <c r="C71" s="5">
        <v>4.0</v>
      </c>
      <c r="D71" s="5" t="s">
        <v>21</v>
      </c>
      <c r="E71" s="6" t="s">
        <v>22</v>
      </c>
      <c r="F71" s="5">
        <v>0.476</v>
      </c>
      <c r="G71" s="5" t="s">
        <v>23</v>
      </c>
      <c r="H71" s="4">
        <f t="shared" si="7"/>
        <v>0.33419504</v>
      </c>
      <c r="I71" s="11">
        <f> (0.4124 * H73) + (0.3576 * H72) + (0.1805 * H71)</f>
        <v>0.183452789</v>
      </c>
      <c r="J71" s="11">
        <f> (0.2126 * H73) + (0.7152 * H72) + (0.0722 * H71)</f>
        <v>0.2173146445</v>
      </c>
      <c r="K71" s="11">
        <f> (0.0193 * H73) + (0.1192 *H72) + (0.9505 * H71)</f>
        <v>0.3484513142</v>
      </c>
      <c r="L71" s="12">
        <v>53.74</v>
      </c>
      <c r="M71" s="12">
        <v>-11.65</v>
      </c>
      <c r="N71" s="12">
        <v>-16.56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D72" s="5" t="s">
        <v>24</v>
      </c>
      <c r="E72" s="6" t="s">
        <v>25</v>
      </c>
      <c r="F72" s="5">
        <v>0.612</v>
      </c>
      <c r="G72" s="5" t="s">
        <v>23</v>
      </c>
      <c r="H72" s="4">
        <f t="shared" si="7"/>
        <v>0.2443430553</v>
      </c>
      <c r="V72" s="4"/>
      <c r="W72" s="4"/>
      <c r="X72" s="4"/>
      <c r="Y72" s="4"/>
      <c r="Z72" s="4"/>
      <c r="AA72" s="4"/>
      <c r="AB72" s="4"/>
      <c r="AC72" s="4"/>
    </row>
    <row r="73">
      <c r="C73" s="7"/>
      <c r="D73" s="8" t="s">
        <v>26</v>
      </c>
      <c r="E73" s="9" t="s">
        <v>27</v>
      </c>
      <c r="F73" s="8">
        <v>1.062</v>
      </c>
      <c r="G73" s="8" t="s">
        <v>23</v>
      </c>
      <c r="H73" s="10">
        <f t="shared" si="7"/>
        <v>0.08669618758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4"/>
      <c r="W73" s="4"/>
      <c r="X73" s="4"/>
      <c r="Y73" s="4"/>
      <c r="Z73" s="4"/>
      <c r="AA73" s="4"/>
      <c r="AB73" s="4"/>
      <c r="AC73" s="4"/>
    </row>
    <row r="74">
      <c r="C74" s="5">
        <v>5.0</v>
      </c>
      <c r="D74" s="5" t="s">
        <v>21</v>
      </c>
      <c r="E74" s="6" t="s">
        <v>22</v>
      </c>
      <c r="F74" s="5">
        <v>0.409</v>
      </c>
      <c r="G74" s="5" t="s">
        <v>23</v>
      </c>
      <c r="H74" s="4">
        <f t="shared" si="7"/>
        <v>0.3899419867</v>
      </c>
      <c r="I74" s="11">
        <f> (0.4124 * H76) + (0.3576 * H75) + (0.1805 * H74)</f>
        <v>0.1689724554</v>
      </c>
      <c r="J74" s="11">
        <f> (0.2126 * H76) + (0.7152 * H75) + (0.0722 * H74)</f>
        <v>0.182485338</v>
      </c>
      <c r="K74" s="11">
        <f> (0.0193 * H76) + (0.1192 *H75) + (0.9505 * H74)</f>
        <v>0.395232701</v>
      </c>
      <c r="L74" s="12">
        <v>49.8</v>
      </c>
      <c r="M74" s="12">
        <v>-2.46</v>
      </c>
      <c r="N74" s="12">
        <v>-29.23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D75" s="5" t="s">
        <v>24</v>
      </c>
      <c r="E75" s="6" t="s">
        <v>25</v>
      </c>
      <c r="F75" s="5">
        <v>0.71</v>
      </c>
      <c r="G75" s="5" t="s">
        <v>23</v>
      </c>
      <c r="H75" s="4">
        <f t="shared" si="7"/>
        <v>0.19498446</v>
      </c>
      <c r="V75" s="4"/>
      <c r="W75" s="4"/>
      <c r="X75" s="4"/>
      <c r="Y75" s="4"/>
      <c r="Z75" s="4"/>
      <c r="AA75" s="4"/>
      <c r="AB75" s="4"/>
      <c r="AC75" s="4"/>
    </row>
    <row r="76">
      <c r="A76" s="7"/>
      <c r="B76" s="7"/>
      <c r="C76" s="7"/>
      <c r="D76" s="8" t="s">
        <v>26</v>
      </c>
      <c r="E76" s="9" t="s">
        <v>27</v>
      </c>
      <c r="F76" s="8">
        <v>1.155</v>
      </c>
      <c r="G76" s="8" t="s">
        <v>23</v>
      </c>
      <c r="H76" s="10">
        <f t="shared" si="7"/>
        <v>0.0699841996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4"/>
      <c r="W76" s="4"/>
      <c r="X76" s="4"/>
      <c r="Y76" s="4"/>
      <c r="Z76" s="4"/>
      <c r="AA76" s="4"/>
      <c r="AB76" s="4"/>
      <c r="AC76" s="4"/>
    </row>
    <row r="77">
      <c r="A77" s="13" t="s">
        <v>33</v>
      </c>
      <c r="B77" s="14"/>
      <c r="C77" s="14"/>
      <c r="D77" s="14"/>
      <c r="E77" s="14"/>
      <c r="F77" s="14"/>
      <c r="G77" s="14"/>
      <c r="H77" s="14"/>
      <c r="I77" s="14"/>
      <c r="J77" s="14"/>
      <c r="K77" s="15"/>
      <c r="L77" s="17">
        <f t="shared" ref="L77:N77" si="8">average(L62:L76)</f>
        <v>53.614</v>
      </c>
      <c r="M77" s="16">
        <f t="shared" si="8"/>
        <v>-8.086</v>
      </c>
      <c r="N77" s="16">
        <f t="shared" si="8"/>
        <v>-22.342</v>
      </c>
      <c r="O77" s="10"/>
      <c r="P77" s="10"/>
      <c r="Q77" s="10"/>
      <c r="R77" s="10"/>
      <c r="S77" s="10"/>
      <c r="T77" s="8">
        <v>14.446</v>
      </c>
      <c r="U77" s="10"/>
      <c r="V77" s="4"/>
      <c r="W77" s="4"/>
      <c r="X77" s="4"/>
      <c r="Y77" s="4"/>
      <c r="Z77" s="4"/>
      <c r="AA77" s="4"/>
      <c r="AB77" s="4"/>
      <c r="AC77" s="4"/>
    </row>
    <row r="78">
      <c r="A78" s="5" t="s">
        <v>20</v>
      </c>
      <c r="B78" s="5">
        <v>8.5</v>
      </c>
      <c r="C78" s="5">
        <v>0.0</v>
      </c>
      <c r="D78" s="5" t="s">
        <v>21</v>
      </c>
      <c r="E78" s="6" t="s">
        <v>22</v>
      </c>
      <c r="F78" s="5">
        <v>0.0</v>
      </c>
      <c r="G78" s="5" t="s">
        <v>23</v>
      </c>
      <c r="H78" s="4">
        <f t="shared" ref="H78:H95" si="9">10^-F78</f>
        <v>1</v>
      </c>
      <c r="I78" s="11">
        <f> (0.4124 * H80) + (0.3576 * H79) + (0.1805 * H78)</f>
        <v>0.9505</v>
      </c>
      <c r="J78" s="11">
        <f> (0.2126 * H80) + (0.7152 * H79) + (0.0722 * H78)</f>
        <v>1</v>
      </c>
      <c r="K78" s="11">
        <f> (0.0193 * H80) + (0.1192 *H79) + (0.9505 * H78)</f>
        <v>1.089</v>
      </c>
      <c r="L78" s="12">
        <v>100.0</v>
      </c>
      <c r="M78" s="12">
        <v>0.0</v>
      </c>
      <c r="N78" s="12">
        <v>0.0</v>
      </c>
      <c r="O78" s="4"/>
      <c r="P78" s="4"/>
      <c r="Q78" s="4"/>
      <c r="R78" s="4"/>
      <c r="S78" s="4"/>
      <c r="T78" s="5">
        <v>46.882</v>
      </c>
      <c r="U78" s="4"/>
      <c r="V78" s="4"/>
      <c r="W78" s="4"/>
      <c r="X78" s="4"/>
      <c r="Y78" s="4"/>
      <c r="Z78" s="4"/>
      <c r="AA78" s="4"/>
      <c r="AB78" s="4"/>
      <c r="AC78" s="4"/>
    </row>
    <row r="79">
      <c r="D79" s="5" t="s">
        <v>24</v>
      </c>
      <c r="E79" s="6" t="s">
        <v>25</v>
      </c>
      <c r="F79" s="5">
        <v>0.0</v>
      </c>
      <c r="G79" s="5" t="s">
        <v>23</v>
      </c>
      <c r="H79" s="4">
        <f t="shared" si="9"/>
        <v>1</v>
      </c>
      <c r="V79" s="4"/>
      <c r="W79" s="4"/>
      <c r="X79" s="4"/>
      <c r="Y79" s="4"/>
      <c r="Z79" s="4"/>
      <c r="AA79" s="4"/>
      <c r="AB79" s="4"/>
      <c r="AC79" s="4"/>
    </row>
    <row r="80">
      <c r="A80" s="7"/>
      <c r="C80" s="7"/>
      <c r="D80" s="8" t="s">
        <v>26</v>
      </c>
      <c r="E80" s="9" t="s">
        <v>27</v>
      </c>
      <c r="F80" s="8">
        <v>0.0</v>
      </c>
      <c r="G80" s="8" t="s">
        <v>23</v>
      </c>
      <c r="H80" s="10">
        <f t="shared" si="9"/>
        <v>1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4"/>
      <c r="W80" s="4"/>
      <c r="X80" s="4"/>
      <c r="Y80" s="4"/>
      <c r="Z80" s="4"/>
      <c r="AA80" s="4"/>
      <c r="AB80" s="4"/>
      <c r="AC80" s="4"/>
    </row>
    <row r="81">
      <c r="A81" s="5" t="s">
        <v>29</v>
      </c>
      <c r="C81" s="5">
        <v>1.0</v>
      </c>
      <c r="D81" s="5" t="s">
        <v>21</v>
      </c>
      <c r="E81" s="6" t="s">
        <v>22</v>
      </c>
      <c r="F81" s="5">
        <v>0.535</v>
      </c>
      <c r="G81" s="5" t="s">
        <v>23</v>
      </c>
      <c r="H81" s="4">
        <f t="shared" si="9"/>
        <v>0.2917427014</v>
      </c>
      <c r="I81" s="11">
        <f> (0.4124 * H83) + (0.3576 * H82) + (0.1805 * H81)</f>
        <v>0.1959485998</v>
      </c>
      <c r="J81" s="11">
        <f> (0.2126 * H83) + (0.7152 * H82) + (0.0722 * H81)</f>
        <v>0.2348818011</v>
      </c>
      <c r="K81" s="11">
        <f> (0.0193 * H83) + (0.1192 *H82) + (0.9505 * H81)</f>
        <v>0.3110203171</v>
      </c>
      <c r="L81" s="12">
        <v>55.57</v>
      </c>
      <c r="M81" s="12">
        <v>-13.13</v>
      </c>
      <c r="N81" s="12">
        <v>-8.32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D82" s="5" t="s">
        <v>24</v>
      </c>
      <c r="E82" s="6" t="s">
        <v>25</v>
      </c>
      <c r="F82" s="5">
        <v>0.579</v>
      </c>
      <c r="G82" s="5" t="s">
        <v>23</v>
      </c>
      <c r="H82" s="4">
        <f t="shared" si="9"/>
        <v>0.2636331386</v>
      </c>
      <c r="V82" s="4"/>
      <c r="W82" s="4"/>
      <c r="X82" s="4"/>
      <c r="Y82" s="4"/>
      <c r="Z82" s="4"/>
      <c r="AA82" s="4"/>
      <c r="AB82" s="4"/>
      <c r="AC82" s="4"/>
    </row>
    <row r="83">
      <c r="C83" s="7"/>
      <c r="D83" s="8" t="s">
        <v>26</v>
      </c>
      <c r="E83" s="9" t="s">
        <v>27</v>
      </c>
      <c r="F83" s="8">
        <v>0.925</v>
      </c>
      <c r="G83" s="8" t="s">
        <v>23</v>
      </c>
      <c r="H83" s="10">
        <f t="shared" si="9"/>
        <v>0.1188502227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4"/>
      <c r="W83" s="4"/>
      <c r="X83" s="4"/>
      <c r="Y83" s="4"/>
      <c r="Z83" s="4"/>
      <c r="AA83" s="4"/>
      <c r="AB83" s="4"/>
      <c r="AC83" s="4"/>
    </row>
    <row r="84">
      <c r="C84" s="5">
        <v>2.0</v>
      </c>
      <c r="D84" s="5" t="s">
        <v>21</v>
      </c>
      <c r="E84" s="6" t="s">
        <v>22</v>
      </c>
      <c r="F84" s="5">
        <v>0.484</v>
      </c>
      <c r="G84" s="5" t="s">
        <v>23</v>
      </c>
      <c r="H84" s="4">
        <f t="shared" si="9"/>
        <v>0.3280952931</v>
      </c>
      <c r="I84" s="11">
        <f> (0.4124 * H86) + (0.3576 * H85) + (0.1805 * H84)</f>
        <v>0.2291344</v>
      </c>
      <c r="J84" s="11">
        <f> (0.2126 * H86) + (0.7152 * H85) + (0.0722 * H84)</f>
        <v>0.2723361942</v>
      </c>
      <c r="K84" s="11">
        <f> (0.0193 * H86) + (0.1192 *H85) + (0.9505 * H84)</f>
        <v>0.3508930259</v>
      </c>
      <c r="L84" s="12">
        <v>59.19</v>
      </c>
      <c r="M84" s="12">
        <v>-12.91</v>
      </c>
      <c r="N84" s="12">
        <v>-7.48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D85" s="5" t="s">
        <v>24</v>
      </c>
      <c r="E85" s="6" t="s">
        <v>25</v>
      </c>
      <c r="F85" s="5">
        <v>0.518</v>
      </c>
      <c r="G85" s="5" t="s">
        <v>23</v>
      </c>
      <c r="H85" s="4">
        <f t="shared" si="9"/>
        <v>0.3033891184</v>
      </c>
      <c r="V85" s="4"/>
      <c r="W85" s="4"/>
      <c r="X85" s="4"/>
      <c r="Y85" s="4"/>
      <c r="Z85" s="4"/>
      <c r="AA85" s="4"/>
      <c r="AB85" s="4"/>
      <c r="AC85" s="4"/>
    </row>
    <row r="86">
      <c r="C86" s="7"/>
      <c r="D86" s="8" t="s">
        <v>26</v>
      </c>
      <c r="E86" s="9" t="s">
        <v>27</v>
      </c>
      <c r="F86" s="8">
        <v>0.827</v>
      </c>
      <c r="G86" s="8" t="s">
        <v>23</v>
      </c>
      <c r="H86" s="10">
        <f t="shared" si="9"/>
        <v>0.1489361078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4"/>
      <c r="W86" s="4"/>
      <c r="X86" s="4"/>
      <c r="Y86" s="4"/>
      <c r="Z86" s="4"/>
      <c r="AA86" s="4"/>
      <c r="AB86" s="4"/>
      <c r="AC86" s="4"/>
    </row>
    <row r="87">
      <c r="C87" s="5">
        <v>3.0</v>
      </c>
      <c r="D87" s="5" t="s">
        <v>21</v>
      </c>
      <c r="E87" s="6" t="s">
        <v>22</v>
      </c>
      <c r="F87" s="5">
        <v>0.568</v>
      </c>
      <c r="G87" s="5" t="s">
        <v>23</v>
      </c>
      <c r="H87" s="4">
        <f t="shared" si="9"/>
        <v>0.2703958364</v>
      </c>
      <c r="I87" s="4">
        <f> (0.4124 * H89) + (0.3576 * H88) + (0.1805 * H87)</f>
        <v>0.178304376</v>
      </c>
      <c r="J87" s="4">
        <f> (0.2126 * H89) + (0.7152 * H88) + (0.0722 * H87)</f>
        <v>0.2165895402</v>
      </c>
      <c r="K87" s="4">
        <f> (0.0193 * H89) + (0.1192 *H88) + (0.9505 * H87)</f>
        <v>0.2882237211</v>
      </c>
      <c r="L87" s="5">
        <v>53.66</v>
      </c>
      <c r="M87" s="5">
        <v>-14.05</v>
      </c>
      <c r="N87" s="5">
        <v>-8.31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D88" s="5" t="s">
        <v>24</v>
      </c>
      <c r="E88" s="6" t="s">
        <v>25</v>
      </c>
      <c r="F88" s="5">
        <v>0.61</v>
      </c>
      <c r="G88" s="5" t="s">
        <v>23</v>
      </c>
      <c r="H88" s="4">
        <f t="shared" si="9"/>
        <v>0.2454708916</v>
      </c>
      <c r="V88" s="4"/>
      <c r="W88" s="4"/>
      <c r="X88" s="4"/>
      <c r="Y88" s="4"/>
      <c r="Z88" s="4"/>
      <c r="AA88" s="4"/>
      <c r="AB88" s="4"/>
      <c r="AC88" s="4"/>
    </row>
    <row r="89">
      <c r="C89" s="7"/>
      <c r="D89" s="8" t="s">
        <v>26</v>
      </c>
      <c r="E89" s="9" t="s">
        <v>27</v>
      </c>
      <c r="F89" s="8">
        <v>0.995</v>
      </c>
      <c r="G89" s="8" t="s">
        <v>23</v>
      </c>
      <c r="H89" s="10">
        <f t="shared" si="9"/>
        <v>0.1011579454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4"/>
      <c r="W89" s="4"/>
      <c r="X89" s="4"/>
      <c r="Y89" s="4"/>
      <c r="Z89" s="4"/>
      <c r="AA89" s="4"/>
      <c r="AB89" s="4"/>
      <c r="AC89" s="4"/>
    </row>
    <row r="90">
      <c r="C90" s="5">
        <v>4.0</v>
      </c>
      <c r="D90" s="5" t="s">
        <v>21</v>
      </c>
      <c r="E90" s="6" t="s">
        <v>22</v>
      </c>
      <c r="F90" s="5">
        <v>0.506</v>
      </c>
      <c r="G90" s="5" t="s">
        <v>23</v>
      </c>
      <c r="H90" s="4">
        <f t="shared" si="9"/>
        <v>0.3118889584</v>
      </c>
      <c r="I90" s="4">
        <f> (0.4124 * H92) + (0.3576 * H91) + (0.1805 * H90)</f>
        <v>0.1870614119</v>
      </c>
      <c r="J90" s="4">
        <f> (0.2126 * H92) + (0.7152 * H91) + (0.0722 * H90)</f>
        <v>0.2184508806</v>
      </c>
      <c r="K90" s="4">
        <f> (0.0193 * H92) + (0.1192 *H91) + (0.9505 * H90)</f>
        <v>0.3273771535</v>
      </c>
      <c r="L90" s="5">
        <v>53.86</v>
      </c>
      <c r="M90" s="5">
        <v>-10.29</v>
      </c>
      <c r="N90" s="5">
        <v>-13.53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D91" s="5" t="s">
        <v>24</v>
      </c>
      <c r="E91" s="6" t="s">
        <v>25</v>
      </c>
      <c r="F91" s="5">
        <v>0.616</v>
      </c>
      <c r="G91" s="5" t="s">
        <v>23</v>
      </c>
      <c r="H91" s="4">
        <f t="shared" si="9"/>
        <v>0.2421029047</v>
      </c>
      <c r="V91" s="4"/>
      <c r="W91" s="4"/>
      <c r="X91" s="4"/>
      <c r="Y91" s="4"/>
      <c r="Z91" s="4"/>
      <c r="AA91" s="4"/>
      <c r="AB91" s="4"/>
      <c r="AC91" s="4"/>
    </row>
    <row r="92">
      <c r="C92" s="7"/>
      <c r="D92" s="8" t="s">
        <v>26</v>
      </c>
      <c r="E92" s="9" t="s">
        <v>27</v>
      </c>
      <c r="F92" s="8">
        <v>0.97</v>
      </c>
      <c r="G92" s="8" t="s">
        <v>23</v>
      </c>
      <c r="H92" s="10">
        <f t="shared" si="9"/>
        <v>0.1071519305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4"/>
      <c r="W92" s="4"/>
      <c r="X92" s="4"/>
      <c r="Y92" s="4"/>
      <c r="Z92" s="4"/>
      <c r="AA92" s="4"/>
      <c r="AB92" s="4"/>
      <c r="AC92" s="4"/>
    </row>
    <row r="93">
      <c r="C93" s="5">
        <v>5.0</v>
      </c>
      <c r="D93" s="5" t="s">
        <v>21</v>
      </c>
      <c r="E93" s="6" t="s">
        <v>22</v>
      </c>
      <c r="F93" s="5">
        <v>0.567</v>
      </c>
      <c r="G93" s="5" t="s">
        <v>23</v>
      </c>
      <c r="H93" s="4">
        <f t="shared" si="9"/>
        <v>0.2710191632</v>
      </c>
      <c r="I93" s="4">
        <f> (0.4124 * H95) + (0.3576 * H94) + (0.1805 * H93)</f>
        <v>0.2065724964</v>
      </c>
      <c r="J93" s="4">
        <f> (0.2126 * H95) + (0.7152 * H94) + (0.0722 * H93)</f>
        <v>0.2532364765</v>
      </c>
      <c r="K93" s="5">
        <v>0.3273771535</v>
      </c>
      <c r="L93" s="5">
        <v>57.39</v>
      </c>
      <c r="M93" s="5">
        <v>-15.72</v>
      </c>
      <c r="N93" s="5">
        <v>-7.45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D94" s="5" t="s">
        <v>24</v>
      </c>
      <c r="E94" s="6" t="s">
        <v>25</v>
      </c>
      <c r="F94" s="5">
        <v>0.542</v>
      </c>
      <c r="G94" s="5" t="s">
        <v>23</v>
      </c>
      <c r="H94" s="4">
        <f t="shared" si="9"/>
        <v>0.2870780582</v>
      </c>
      <c r="V94" s="4"/>
      <c r="W94" s="4"/>
      <c r="X94" s="4"/>
      <c r="Y94" s="4"/>
      <c r="Z94" s="4"/>
      <c r="AA94" s="4"/>
      <c r="AB94" s="4"/>
      <c r="AC94" s="4"/>
    </row>
    <row r="95">
      <c r="C95" s="7"/>
      <c r="D95" s="5" t="s">
        <v>26</v>
      </c>
      <c r="E95" s="6" t="s">
        <v>27</v>
      </c>
      <c r="F95" s="5">
        <v>0.875</v>
      </c>
      <c r="G95" s="5" t="s">
        <v>23</v>
      </c>
      <c r="H95" s="4">
        <f t="shared" si="9"/>
        <v>0.1333521432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4"/>
      <c r="W95" s="4"/>
      <c r="X95" s="4"/>
      <c r="Y95" s="4"/>
      <c r="Z95" s="4"/>
      <c r="AA95" s="4"/>
      <c r="AB95" s="4"/>
      <c r="AC95" s="4"/>
    </row>
    <row r="96">
      <c r="A96" s="13" t="s">
        <v>33</v>
      </c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16">
        <f t="shared" ref="L96:N96" si="10">average(L81:L95)</f>
        <v>55.934</v>
      </c>
      <c r="M96" s="16">
        <f t="shared" si="10"/>
        <v>-13.22</v>
      </c>
      <c r="N96" s="17">
        <f t="shared" si="10"/>
        <v>-9.018</v>
      </c>
      <c r="O96" s="10"/>
      <c r="P96" s="10"/>
      <c r="Q96" s="10"/>
      <c r="R96" s="10"/>
      <c r="S96" s="10"/>
      <c r="T96" s="10"/>
      <c r="U96" s="10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6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6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6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6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6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6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6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6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6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6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6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6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6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6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6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6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6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6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6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6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6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6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6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6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6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6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6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6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6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6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6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6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6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6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6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6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6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6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6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6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6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6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6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6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6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6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</sheetData>
  <mergeCells count="440">
    <mergeCell ref="Q46:Q48"/>
    <mergeCell ref="R46:R48"/>
    <mergeCell ref="S46:S48"/>
    <mergeCell ref="T46:T48"/>
    <mergeCell ref="U46:U48"/>
    <mergeCell ref="I46:I48"/>
    <mergeCell ref="J46:J48"/>
    <mergeCell ref="K46:K48"/>
    <mergeCell ref="L46:L48"/>
    <mergeCell ref="M46:M48"/>
    <mergeCell ref="N46:N48"/>
    <mergeCell ref="P46:P48"/>
    <mergeCell ref="O46:O48"/>
    <mergeCell ref="Q30:Q32"/>
    <mergeCell ref="R30:R32"/>
    <mergeCell ref="S30:S32"/>
    <mergeCell ref="T30:T32"/>
    <mergeCell ref="U30:U32"/>
    <mergeCell ref="I30:I32"/>
    <mergeCell ref="J30:J32"/>
    <mergeCell ref="K30:K32"/>
    <mergeCell ref="L30:L32"/>
    <mergeCell ref="M30:M32"/>
    <mergeCell ref="N30:N32"/>
    <mergeCell ref="P30:P32"/>
    <mergeCell ref="O30:O32"/>
    <mergeCell ref="Q33:Q35"/>
    <mergeCell ref="R33:R35"/>
    <mergeCell ref="S33:S35"/>
    <mergeCell ref="T33:T35"/>
    <mergeCell ref="U33:U35"/>
    <mergeCell ref="I33:I35"/>
    <mergeCell ref="J33:J35"/>
    <mergeCell ref="K33:K35"/>
    <mergeCell ref="L33:L35"/>
    <mergeCell ref="M33:M35"/>
    <mergeCell ref="N33:N35"/>
    <mergeCell ref="P33:P35"/>
    <mergeCell ref="O33:O35"/>
    <mergeCell ref="Q36:Q38"/>
    <mergeCell ref="R36:R38"/>
    <mergeCell ref="S36:S38"/>
    <mergeCell ref="T36:T38"/>
    <mergeCell ref="U36:U38"/>
    <mergeCell ref="O36:O38"/>
    <mergeCell ref="P40:P42"/>
    <mergeCell ref="Q40:Q42"/>
    <mergeCell ref="R40:R42"/>
    <mergeCell ref="S40:S42"/>
    <mergeCell ref="T40:T42"/>
    <mergeCell ref="U40:U42"/>
    <mergeCell ref="O40:O42"/>
    <mergeCell ref="O43:O45"/>
    <mergeCell ref="Q49:Q51"/>
    <mergeCell ref="R49:R51"/>
    <mergeCell ref="S49:S51"/>
    <mergeCell ref="T49:T51"/>
    <mergeCell ref="U49:U51"/>
    <mergeCell ref="I49:I51"/>
    <mergeCell ref="J49:J51"/>
    <mergeCell ref="K49:K51"/>
    <mergeCell ref="L49:L51"/>
    <mergeCell ref="M49:M51"/>
    <mergeCell ref="N49:N51"/>
    <mergeCell ref="P49:P51"/>
    <mergeCell ref="O49:O51"/>
    <mergeCell ref="Q62:Q64"/>
    <mergeCell ref="R62:R64"/>
    <mergeCell ref="S62:S64"/>
    <mergeCell ref="T62:T64"/>
    <mergeCell ref="U62:U64"/>
    <mergeCell ref="I62:I64"/>
    <mergeCell ref="J62:J64"/>
    <mergeCell ref="K62:K64"/>
    <mergeCell ref="L62:L64"/>
    <mergeCell ref="M62:M64"/>
    <mergeCell ref="N62:N64"/>
    <mergeCell ref="P62:P64"/>
    <mergeCell ref="O62:O64"/>
    <mergeCell ref="Q43:Q45"/>
    <mergeCell ref="R43:R45"/>
    <mergeCell ref="S43:S45"/>
    <mergeCell ref="T43:T45"/>
    <mergeCell ref="U43:U45"/>
    <mergeCell ref="I43:I45"/>
    <mergeCell ref="J43:J45"/>
    <mergeCell ref="K43:K45"/>
    <mergeCell ref="L43:L45"/>
    <mergeCell ref="M43:M45"/>
    <mergeCell ref="N43:N45"/>
    <mergeCell ref="P43:P45"/>
    <mergeCell ref="Q52:Q54"/>
    <mergeCell ref="R52:R54"/>
    <mergeCell ref="S52:S54"/>
    <mergeCell ref="T52:T54"/>
    <mergeCell ref="U52:U54"/>
    <mergeCell ref="I52:I54"/>
    <mergeCell ref="J52:J54"/>
    <mergeCell ref="K52:K54"/>
    <mergeCell ref="L52:L54"/>
    <mergeCell ref="M52:M54"/>
    <mergeCell ref="N52:N54"/>
    <mergeCell ref="P52:P54"/>
    <mergeCell ref="O52:O54"/>
    <mergeCell ref="Q55:Q57"/>
    <mergeCell ref="R55:R57"/>
    <mergeCell ref="S55:S57"/>
    <mergeCell ref="T55:T57"/>
    <mergeCell ref="U55:U57"/>
    <mergeCell ref="O55:O57"/>
    <mergeCell ref="P59:P61"/>
    <mergeCell ref="Q59:Q61"/>
    <mergeCell ref="R59:R61"/>
    <mergeCell ref="S59:S61"/>
    <mergeCell ref="T59:T61"/>
    <mergeCell ref="U59:U61"/>
    <mergeCell ref="O59:O61"/>
    <mergeCell ref="Q65:Q67"/>
    <mergeCell ref="R65:R67"/>
    <mergeCell ref="S65:S67"/>
    <mergeCell ref="T65:T67"/>
    <mergeCell ref="U65:U67"/>
    <mergeCell ref="I65:I67"/>
    <mergeCell ref="J65:J67"/>
    <mergeCell ref="K65:K67"/>
    <mergeCell ref="L65:L67"/>
    <mergeCell ref="M65:M67"/>
    <mergeCell ref="N65:N67"/>
    <mergeCell ref="P65:P67"/>
    <mergeCell ref="O65:O67"/>
    <mergeCell ref="Q74:Q76"/>
    <mergeCell ref="R74:R76"/>
    <mergeCell ref="S74:S76"/>
    <mergeCell ref="T74:T76"/>
    <mergeCell ref="U74:U76"/>
    <mergeCell ref="J74:J76"/>
    <mergeCell ref="K74:K76"/>
    <mergeCell ref="L74:L76"/>
    <mergeCell ref="M74:M76"/>
    <mergeCell ref="N74:N76"/>
    <mergeCell ref="P74:P76"/>
    <mergeCell ref="A77:K77"/>
    <mergeCell ref="O74:O76"/>
    <mergeCell ref="J55:J57"/>
    <mergeCell ref="K55:K57"/>
    <mergeCell ref="L55:L57"/>
    <mergeCell ref="M55:M57"/>
    <mergeCell ref="N55:N57"/>
    <mergeCell ref="P55:P57"/>
    <mergeCell ref="A58:K58"/>
    <mergeCell ref="I55:I57"/>
    <mergeCell ref="I59:I61"/>
    <mergeCell ref="J59:J61"/>
    <mergeCell ref="K59:K61"/>
    <mergeCell ref="L59:L61"/>
    <mergeCell ref="M59:M61"/>
    <mergeCell ref="N59:N61"/>
    <mergeCell ref="Q68:Q70"/>
    <mergeCell ref="R68:R70"/>
    <mergeCell ref="S68:S70"/>
    <mergeCell ref="T68:T70"/>
    <mergeCell ref="U68:U70"/>
    <mergeCell ref="I68:I70"/>
    <mergeCell ref="J68:J70"/>
    <mergeCell ref="K68:K70"/>
    <mergeCell ref="L68:L70"/>
    <mergeCell ref="M68:M70"/>
    <mergeCell ref="N68:N70"/>
    <mergeCell ref="P68:P70"/>
    <mergeCell ref="O68:O70"/>
    <mergeCell ref="Q71:Q73"/>
    <mergeCell ref="R71:R73"/>
    <mergeCell ref="S71:S73"/>
    <mergeCell ref="T71:T73"/>
    <mergeCell ref="U71:U73"/>
    <mergeCell ref="I71:I73"/>
    <mergeCell ref="J71:J73"/>
    <mergeCell ref="K71:K73"/>
    <mergeCell ref="L71:L73"/>
    <mergeCell ref="M71:M73"/>
    <mergeCell ref="N71:N73"/>
    <mergeCell ref="P71:P73"/>
    <mergeCell ref="O71:O73"/>
    <mergeCell ref="P78:P80"/>
    <mergeCell ref="Q78:Q80"/>
    <mergeCell ref="R78:R80"/>
    <mergeCell ref="S78:S80"/>
    <mergeCell ref="T78:T80"/>
    <mergeCell ref="U78:U80"/>
    <mergeCell ref="O78:O80"/>
    <mergeCell ref="I74:I76"/>
    <mergeCell ref="I78:I80"/>
    <mergeCell ref="J78:J80"/>
    <mergeCell ref="K78:K80"/>
    <mergeCell ref="L78:L80"/>
    <mergeCell ref="M78:M80"/>
    <mergeCell ref="N78:N80"/>
    <mergeCell ref="I2:I4"/>
    <mergeCell ref="I8:I10"/>
    <mergeCell ref="K11:K13"/>
    <mergeCell ref="L11:L13"/>
    <mergeCell ref="O5:O7"/>
    <mergeCell ref="O8:O10"/>
    <mergeCell ref="O11:O13"/>
    <mergeCell ref="C14:C16"/>
    <mergeCell ref="I14:I16"/>
    <mergeCell ref="S14:S16"/>
    <mergeCell ref="T14:T16"/>
    <mergeCell ref="U14:U16"/>
    <mergeCell ref="J14:J16"/>
    <mergeCell ref="K14:K16"/>
    <mergeCell ref="M14:M16"/>
    <mergeCell ref="N14:N16"/>
    <mergeCell ref="P14:P16"/>
    <mergeCell ref="Q14:Q16"/>
    <mergeCell ref="R14:R16"/>
    <mergeCell ref="O14:O16"/>
    <mergeCell ref="I17:I19"/>
    <mergeCell ref="J17:J19"/>
    <mergeCell ref="S17:S19"/>
    <mergeCell ref="T17:T19"/>
    <mergeCell ref="U17:U19"/>
    <mergeCell ref="K17:K19"/>
    <mergeCell ref="L17:L19"/>
    <mergeCell ref="M17:M19"/>
    <mergeCell ref="N17:N19"/>
    <mergeCell ref="P17:P19"/>
    <mergeCell ref="Q17:Q19"/>
    <mergeCell ref="R17:R19"/>
    <mergeCell ref="O17:O19"/>
    <mergeCell ref="C2:C4"/>
    <mergeCell ref="C5:C7"/>
    <mergeCell ref="I5:I7"/>
    <mergeCell ref="J5:J7"/>
    <mergeCell ref="S5:S7"/>
    <mergeCell ref="T5:T7"/>
    <mergeCell ref="U5:U7"/>
    <mergeCell ref="U8:U10"/>
    <mergeCell ref="K5:K7"/>
    <mergeCell ref="L5:L7"/>
    <mergeCell ref="M5:M7"/>
    <mergeCell ref="N5:N7"/>
    <mergeCell ref="P5:P7"/>
    <mergeCell ref="Q5:Q7"/>
    <mergeCell ref="R5:R7"/>
    <mergeCell ref="C8:C10"/>
    <mergeCell ref="C11:C13"/>
    <mergeCell ref="S11:S13"/>
    <mergeCell ref="T11:T13"/>
    <mergeCell ref="U11:U13"/>
    <mergeCell ref="I11:I13"/>
    <mergeCell ref="J11:J13"/>
    <mergeCell ref="M11:M13"/>
    <mergeCell ref="N11:N13"/>
    <mergeCell ref="P11:P13"/>
    <mergeCell ref="Q11:Q13"/>
    <mergeCell ref="R11:R13"/>
    <mergeCell ref="S8:S10"/>
    <mergeCell ref="T8:T10"/>
    <mergeCell ref="J8:J10"/>
    <mergeCell ref="K8:K10"/>
    <mergeCell ref="M8:M10"/>
    <mergeCell ref="N8:N10"/>
    <mergeCell ref="P8:P10"/>
    <mergeCell ref="Q8:Q10"/>
    <mergeCell ref="R8:R10"/>
    <mergeCell ref="A2:A4"/>
    <mergeCell ref="J2:J4"/>
    <mergeCell ref="K2:K4"/>
    <mergeCell ref="L2:L4"/>
    <mergeCell ref="A5:A19"/>
    <mergeCell ref="L8:L10"/>
    <mergeCell ref="L14:L16"/>
    <mergeCell ref="P21:P23"/>
    <mergeCell ref="Q21:Q23"/>
    <mergeCell ref="R21:R23"/>
    <mergeCell ref="S21:S23"/>
    <mergeCell ref="T21:T23"/>
    <mergeCell ref="U21:U23"/>
    <mergeCell ref="O21:O23"/>
    <mergeCell ref="A20:K20"/>
    <mergeCell ref="I21:I23"/>
    <mergeCell ref="J21:J23"/>
    <mergeCell ref="K21:K23"/>
    <mergeCell ref="L21:L23"/>
    <mergeCell ref="M21:M23"/>
    <mergeCell ref="N21:N23"/>
    <mergeCell ref="Q24:Q26"/>
    <mergeCell ref="R24:R26"/>
    <mergeCell ref="S24:S26"/>
    <mergeCell ref="T24:T26"/>
    <mergeCell ref="U24:U26"/>
    <mergeCell ref="I24:I26"/>
    <mergeCell ref="J24:J26"/>
    <mergeCell ref="K24:K26"/>
    <mergeCell ref="L24:L26"/>
    <mergeCell ref="M24:M26"/>
    <mergeCell ref="N24:N26"/>
    <mergeCell ref="P24:P26"/>
    <mergeCell ref="O24:O26"/>
    <mergeCell ref="Q27:Q29"/>
    <mergeCell ref="R27:R29"/>
    <mergeCell ref="S27:S29"/>
    <mergeCell ref="T27:T29"/>
    <mergeCell ref="U27:U29"/>
    <mergeCell ref="I27:I29"/>
    <mergeCell ref="J27:J29"/>
    <mergeCell ref="K27:K29"/>
    <mergeCell ref="L27:L29"/>
    <mergeCell ref="M27:M29"/>
    <mergeCell ref="N27:N29"/>
    <mergeCell ref="P27:P29"/>
    <mergeCell ref="O27:O29"/>
    <mergeCell ref="J36:J38"/>
    <mergeCell ref="K36:K38"/>
    <mergeCell ref="L36:L38"/>
    <mergeCell ref="M36:M38"/>
    <mergeCell ref="N36:N38"/>
    <mergeCell ref="P36:P38"/>
    <mergeCell ref="A39:K39"/>
    <mergeCell ref="I36:I38"/>
    <mergeCell ref="I40:I42"/>
    <mergeCell ref="J40:J42"/>
    <mergeCell ref="K40:K42"/>
    <mergeCell ref="L40:L42"/>
    <mergeCell ref="M40:M42"/>
    <mergeCell ref="N40:N42"/>
    <mergeCell ref="C27:C29"/>
    <mergeCell ref="C30:C32"/>
    <mergeCell ref="B2:B19"/>
    <mergeCell ref="C17:C19"/>
    <mergeCell ref="A21:A23"/>
    <mergeCell ref="B21:B38"/>
    <mergeCell ref="C21:C23"/>
    <mergeCell ref="A24:A38"/>
    <mergeCell ref="C24:C26"/>
    <mergeCell ref="A40:A42"/>
    <mergeCell ref="C49:C51"/>
    <mergeCell ref="C52:C54"/>
    <mergeCell ref="A43:A57"/>
    <mergeCell ref="A59:A61"/>
    <mergeCell ref="A62:A76"/>
    <mergeCell ref="A78:A80"/>
    <mergeCell ref="A81:A95"/>
    <mergeCell ref="C62:C64"/>
    <mergeCell ref="C65:C67"/>
    <mergeCell ref="C68:C70"/>
    <mergeCell ref="C71:C73"/>
    <mergeCell ref="C78:C80"/>
    <mergeCell ref="C81:C83"/>
    <mergeCell ref="C84:C86"/>
    <mergeCell ref="C87:C89"/>
    <mergeCell ref="C90:C92"/>
    <mergeCell ref="C93:C95"/>
    <mergeCell ref="B59:B76"/>
    <mergeCell ref="B78:B95"/>
    <mergeCell ref="Q90:Q92"/>
    <mergeCell ref="R90:R92"/>
    <mergeCell ref="S90:S92"/>
    <mergeCell ref="T90:T92"/>
    <mergeCell ref="U90:U92"/>
    <mergeCell ref="I90:I92"/>
    <mergeCell ref="J90:J92"/>
    <mergeCell ref="K90:K92"/>
    <mergeCell ref="L90:L92"/>
    <mergeCell ref="M90:M92"/>
    <mergeCell ref="N90:N92"/>
    <mergeCell ref="P90:P92"/>
    <mergeCell ref="O90:O92"/>
    <mergeCell ref="Q93:Q95"/>
    <mergeCell ref="R93:R95"/>
    <mergeCell ref="S93:S95"/>
    <mergeCell ref="T93:T95"/>
    <mergeCell ref="U93:U95"/>
    <mergeCell ref="P93:P95"/>
    <mergeCell ref="O93:O95"/>
    <mergeCell ref="I93:I95"/>
    <mergeCell ref="J93:J95"/>
    <mergeCell ref="K93:K95"/>
    <mergeCell ref="L93:L95"/>
    <mergeCell ref="M93:M95"/>
    <mergeCell ref="N93:N95"/>
    <mergeCell ref="A96:K96"/>
    <mergeCell ref="C33:C35"/>
    <mergeCell ref="C36:C38"/>
    <mergeCell ref="B40:B57"/>
    <mergeCell ref="C40:C42"/>
    <mergeCell ref="C43:C45"/>
    <mergeCell ref="C46:C48"/>
    <mergeCell ref="C74:C76"/>
    <mergeCell ref="N81:N83"/>
    <mergeCell ref="P81:P83"/>
    <mergeCell ref="Q81:Q83"/>
    <mergeCell ref="R81:R83"/>
    <mergeCell ref="S81:S83"/>
    <mergeCell ref="T81:T83"/>
    <mergeCell ref="U81:U83"/>
    <mergeCell ref="O81:O83"/>
    <mergeCell ref="C55:C57"/>
    <mergeCell ref="C59:C61"/>
    <mergeCell ref="I81:I83"/>
    <mergeCell ref="J81:J83"/>
    <mergeCell ref="K81:K83"/>
    <mergeCell ref="L81:L83"/>
    <mergeCell ref="M81:M83"/>
    <mergeCell ref="Q84:Q86"/>
    <mergeCell ref="R84:R86"/>
    <mergeCell ref="S84:S86"/>
    <mergeCell ref="T84:T86"/>
    <mergeCell ref="U84:U86"/>
    <mergeCell ref="I84:I86"/>
    <mergeCell ref="J84:J86"/>
    <mergeCell ref="K84:K86"/>
    <mergeCell ref="L84:L86"/>
    <mergeCell ref="M84:M86"/>
    <mergeCell ref="N84:N86"/>
    <mergeCell ref="P84:P86"/>
    <mergeCell ref="O84:O86"/>
    <mergeCell ref="Q87:Q89"/>
    <mergeCell ref="R87:R89"/>
    <mergeCell ref="S87:S89"/>
    <mergeCell ref="T87:T89"/>
    <mergeCell ref="U87:U89"/>
    <mergeCell ref="I87:I89"/>
    <mergeCell ref="J87:J89"/>
    <mergeCell ref="K87:K89"/>
    <mergeCell ref="L87:L89"/>
    <mergeCell ref="M87:M89"/>
    <mergeCell ref="N87:N89"/>
    <mergeCell ref="P87:P89"/>
    <mergeCell ref="O87:O89"/>
    <mergeCell ref="P2:P4"/>
    <mergeCell ref="O2:O4"/>
    <mergeCell ref="M2:M4"/>
    <mergeCell ref="N2:N4"/>
    <mergeCell ref="Q2:Q4"/>
    <mergeCell ref="R2:R4"/>
    <mergeCell ref="S2:S4"/>
    <mergeCell ref="T2:T4"/>
    <mergeCell ref="U2:U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</v>
      </c>
      <c r="B1" s="18" t="s">
        <v>2</v>
      </c>
      <c r="C1" s="18" t="s">
        <v>11</v>
      </c>
      <c r="D1" s="18" t="s">
        <v>12</v>
      </c>
      <c r="E1" s="18" t="s">
        <v>13</v>
      </c>
      <c r="F1" s="3" t="s">
        <v>15</v>
      </c>
      <c r="G1" s="3" t="s">
        <v>34</v>
      </c>
      <c r="H1" s="3" t="s">
        <v>17</v>
      </c>
      <c r="I1" s="3" t="s">
        <v>18</v>
      </c>
      <c r="J1" s="3" t="s">
        <v>19</v>
      </c>
      <c r="K1" s="19"/>
      <c r="L1" s="19"/>
      <c r="M1" s="19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>
      <c r="A2" s="21"/>
      <c r="B2" s="22">
        <v>1.0</v>
      </c>
      <c r="C2" s="22">
        <v>49.873</v>
      </c>
      <c r="D2" s="22">
        <v>15.041</v>
      </c>
      <c r="E2" s="22">
        <v>6.125</v>
      </c>
      <c r="F2" s="23">
        <v>0.0</v>
      </c>
      <c r="G2" s="23">
        <v>7.135</v>
      </c>
      <c r="H2" s="23">
        <v>5.233</v>
      </c>
      <c r="I2" s="24">
        <v>10.705</v>
      </c>
      <c r="J2" s="24">
        <v>16.145</v>
      </c>
      <c r="K2" s="19"/>
      <c r="L2" s="19"/>
      <c r="M2" s="19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>
      <c r="A3" s="19"/>
      <c r="B3" s="22">
        <v>2.0</v>
      </c>
      <c r="C3" s="22">
        <v>48.707</v>
      </c>
      <c r="D3" s="22">
        <v>13.808</v>
      </c>
      <c r="E3" s="22">
        <v>4.427</v>
      </c>
      <c r="K3" s="19"/>
      <c r="L3" s="19"/>
      <c r="M3" s="19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>
      <c r="A4" s="21">
        <v>5.5</v>
      </c>
      <c r="B4" s="22">
        <v>3.0</v>
      </c>
      <c r="C4" s="22">
        <v>50.202</v>
      </c>
      <c r="D4" s="22">
        <v>11.818</v>
      </c>
      <c r="E4" s="22">
        <v>3.888</v>
      </c>
      <c r="K4" s="19"/>
      <c r="L4" s="19"/>
      <c r="M4" s="19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>
      <c r="A5" s="19"/>
      <c r="B5" s="22">
        <v>4.0</v>
      </c>
      <c r="C5" s="22">
        <v>49.272</v>
      </c>
      <c r="D5" s="22">
        <v>10.828</v>
      </c>
      <c r="E5" s="22">
        <v>2.671</v>
      </c>
      <c r="K5" s="19"/>
      <c r="L5" s="19"/>
      <c r="M5" s="19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>
      <c r="A6" s="25"/>
      <c r="B6" s="22">
        <v>5.0</v>
      </c>
      <c r="C6" s="22">
        <v>46.015</v>
      </c>
      <c r="D6" s="22">
        <v>10.375</v>
      </c>
      <c r="E6" s="22">
        <v>0.281</v>
      </c>
      <c r="F6" s="7"/>
      <c r="G6" s="7"/>
      <c r="H6" s="7"/>
      <c r="I6" s="7"/>
      <c r="J6" s="7"/>
      <c r="K6" s="19"/>
      <c r="L6" s="19"/>
      <c r="M6" s="19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</row>
    <row r="7">
      <c r="A7" s="26" t="s">
        <v>33</v>
      </c>
      <c r="B7" s="7"/>
      <c r="C7" s="27">
        <f t="shared" ref="C7:E7" si="1">AVERAGE(C2:C6)</f>
        <v>48.8138</v>
      </c>
      <c r="D7" s="27">
        <f t="shared" si="1"/>
        <v>12.374</v>
      </c>
      <c r="E7" s="27">
        <f t="shared" si="1"/>
        <v>3.4784</v>
      </c>
      <c r="F7" s="28"/>
      <c r="G7" s="28"/>
      <c r="H7" s="27"/>
      <c r="I7" s="28"/>
      <c r="J7" s="28"/>
      <c r="K7" s="19"/>
      <c r="L7" s="19"/>
      <c r="M7" s="1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>
      <c r="A8" s="21"/>
      <c r="B8" s="22">
        <v>1.0</v>
      </c>
      <c r="C8" s="22">
        <v>42.213</v>
      </c>
      <c r="D8" s="22">
        <v>8.963</v>
      </c>
      <c r="E8" s="22">
        <v>-6.352</v>
      </c>
      <c r="F8" s="24">
        <v>7.135</v>
      </c>
      <c r="G8" s="24">
        <v>0.0</v>
      </c>
      <c r="H8" s="24">
        <v>2.091</v>
      </c>
      <c r="I8" s="24">
        <v>4.262</v>
      </c>
      <c r="J8" s="24">
        <v>9.539</v>
      </c>
      <c r="K8" s="19"/>
      <c r="L8" s="19"/>
      <c r="M8" s="19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>
      <c r="A9" s="19"/>
      <c r="B9" s="22">
        <v>2.0</v>
      </c>
      <c r="C9" s="22">
        <v>42.2</v>
      </c>
      <c r="D9" s="22">
        <v>12.001</v>
      </c>
      <c r="E9" s="22">
        <v>-3.965</v>
      </c>
      <c r="K9" s="19"/>
      <c r="L9" s="19"/>
      <c r="M9" s="19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>
      <c r="A10" s="21">
        <v>6.5</v>
      </c>
      <c r="B10" s="22">
        <v>3.0</v>
      </c>
      <c r="C10" s="22">
        <v>50.292</v>
      </c>
      <c r="D10" s="22">
        <v>11.621</v>
      </c>
      <c r="E10" s="22">
        <v>-4.016</v>
      </c>
      <c r="K10" s="19"/>
      <c r="L10" s="19"/>
      <c r="M10" s="19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>
      <c r="A11" s="19"/>
      <c r="B11" s="22">
        <v>4.0</v>
      </c>
      <c r="C11" s="22">
        <v>54.055</v>
      </c>
      <c r="D11" s="22">
        <v>13.344</v>
      </c>
      <c r="E11" s="22">
        <v>-2.937</v>
      </c>
      <c r="K11" s="19"/>
      <c r="L11" s="19"/>
      <c r="M11" s="19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>
      <c r="A12" s="19"/>
      <c r="B12" s="22">
        <v>5.0</v>
      </c>
      <c r="C12" s="22">
        <v>55.69</v>
      </c>
      <c r="D12" s="22">
        <v>13.266</v>
      </c>
      <c r="E12" s="22">
        <v>-0.9</v>
      </c>
      <c r="F12" s="7"/>
      <c r="G12" s="7"/>
      <c r="H12" s="7"/>
      <c r="I12" s="7"/>
      <c r="J12" s="7"/>
      <c r="K12" s="19"/>
      <c r="L12" s="19"/>
      <c r="M12" s="19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>
      <c r="A13" s="29" t="s">
        <v>33</v>
      </c>
      <c r="B13" s="14"/>
      <c r="C13" s="30">
        <f t="shared" ref="C13:E13" si="2">AVERAGE(C8:C12)</f>
        <v>48.89</v>
      </c>
      <c r="D13" s="30">
        <f t="shared" si="2"/>
        <v>11.839</v>
      </c>
      <c r="E13" s="30">
        <f t="shared" si="2"/>
        <v>-3.634</v>
      </c>
      <c r="F13" s="31"/>
      <c r="G13" s="31"/>
      <c r="H13" s="30"/>
      <c r="I13" s="31"/>
      <c r="J13" s="31"/>
      <c r="K13" s="19"/>
      <c r="L13" s="19"/>
      <c r="M13" s="19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>
      <c r="A14" s="21"/>
      <c r="B14" s="22">
        <v>1.0</v>
      </c>
      <c r="C14" s="22">
        <v>49.036</v>
      </c>
      <c r="D14" s="22">
        <v>9.639</v>
      </c>
      <c r="E14" s="22">
        <v>-3.868</v>
      </c>
      <c r="F14" s="24">
        <v>5.233</v>
      </c>
      <c r="G14" s="24">
        <v>2.091</v>
      </c>
      <c r="H14" s="24">
        <v>0.0</v>
      </c>
      <c r="I14" s="24">
        <v>5.638</v>
      </c>
      <c r="J14" s="24">
        <v>11.002</v>
      </c>
      <c r="K14" s="19"/>
      <c r="L14" s="19"/>
      <c r="M14" s="19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>
      <c r="A15" s="19"/>
      <c r="B15" s="22">
        <v>2.0</v>
      </c>
      <c r="C15" s="22">
        <v>43.423</v>
      </c>
      <c r="D15" s="22">
        <v>11.835</v>
      </c>
      <c r="E15" s="22">
        <v>-0.438</v>
      </c>
      <c r="K15" s="19"/>
      <c r="L15" s="19"/>
      <c r="M15" s="19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>
      <c r="A16" s="21">
        <v>7.0</v>
      </c>
      <c r="B16" s="22">
        <v>3.0</v>
      </c>
      <c r="C16" s="22">
        <v>51.7</v>
      </c>
      <c r="D16" s="22">
        <v>11.118</v>
      </c>
      <c r="E16" s="22">
        <v>-1.429</v>
      </c>
      <c r="K16" s="19"/>
      <c r="L16" s="19"/>
      <c r="M16" s="19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>
      <c r="A17" s="19"/>
      <c r="B17" s="22">
        <v>4.0</v>
      </c>
      <c r="C17" s="22">
        <v>47.0</v>
      </c>
      <c r="D17" s="22">
        <v>12.246</v>
      </c>
      <c r="E17" s="22">
        <v>-0.5</v>
      </c>
      <c r="K17" s="19"/>
      <c r="L17" s="19"/>
      <c r="M17" s="19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>
      <c r="A18" s="19"/>
      <c r="B18" s="22">
        <v>5.0</v>
      </c>
      <c r="C18" s="22">
        <v>49.911</v>
      </c>
      <c r="D18" s="22">
        <v>12.674</v>
      </c>
      <c r="E18" s="22">
        <v>-2.078</v>
      </c>
      <c r="F18" s="7"/>
      <c r="G18" s="7"/>
      <c r="H18" s="7"/>
      <c r="I18" s="7"/>
      <c r="J18" s="7"/>
      <c r="K18" s="19"/>
      <c r="L18" s="19"/>
      <c r="M18" s="19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>
      <c r="A19" s="29" t="s">
        <v>33</v>
      </c>
      <c r="B19" s="14"/>
      <c r="C19" s="27">
        <f t="shared" ref="C19:E19" si="3">AVERAGE(C14:C18)</f>
        <v>48.214</v>
      </c>
      <c r="D19" s="27">
        <f t="shared" si="3"/>
        <v>11.5024</v>
      </c>
      <c r="E19" s="27">
        <f t="shared" si="3"/>
        <v>-1.6626</v>
      </c>
      <c r="F19" s="28"/>
      <c r="G19" s="28"/>
      <c r="H19" s="27"/>
      <c r="I19" s="28"/>
      <c r="J19" s="28"/>
      <c r="K19" s="19"/>
      <c r="L19" s="19"/>
      <c r="M19" s="19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>
      <c r="A20" s="21"/>
      <c r="B20" s="22">
        <v>1.0</v>
      </c>
      <c r="C20" s="22">
        <v>39.0</v>
      </c>
      <c r="D20" s="22">
        <v>8.635</v>
      </c>
      <c r="E20" s="22">
        <v>-6.292</v>
      </c>
      <c r="F20" s="24">
        <v>10.705</v>
      </c>
      <c r="G20" s="24">
        <v>4.262</v>
      </c>
      <c r="H20" s="24">
        <v>5.638</v>
      </c>
      <c r="I20" s="24">
        <v>0.0</v>
      </c>
      <c r="J20" s="24">
        <v>5.455</v>
      </c>
      <c r="K20" s="19"/>
      <c r="L20" s="19"/>
      <c r="M20" s="1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>
      <c r="A21" s="19"/>
      <c r="B21" s="22">
        <v>2.0</v>
      </c>
      <c r="C21" s="22">
        <v>50.423</v>
      </c>
      <c r="D21" s="22">
        <v>9.241</v>
      </c>
      <c r="E21" s="22">
        <v>-6.967</v>
      </c>
      <c r="K21" s="19"/>
      <c r="L21" s="19"/>
      <c r="M21" s="19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>
      <c r="A22" s="21">
        <v>7.5</v>
      </c>
      <c r="B22" s="22">
        <v>3.0</v>
      </c>
      <c r="C22" s="22">
        <v>44.835</v>
      </c>
      <c r="D22" s="22">
        <v>10.181</v>
      </c>
      <c r="E22" s="22">
        <v>-5.19</v>
      </c>
      <c r="K22" s="19"/>
      <c r="L22" s="19"/>
      <c r="M22" s="19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>
      <c r="A23" s="19"/>
      <c r="B23" s="22">
        <v>4.0</v>
      </c>
      <c r="C23" s="22">
        <v>55.496</v>
      </c>
      <c r="D23" s="22">
        <v>8.099</v>
      </c>
      <c r="E23" s="22">
        <v>-7.329</v>
      </c>
      <c r="K23" s="19"/>
      <c r="L23" s="19"/>
      <c r="M23" s="19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>
      <c r="A24" s="19"/>
      <c r="B24" s="22">
        <v>5.0</v>
      </c>
      <c r="C24" s="22">
        <v>52.649</v>
      </c>
      <c r="D24" s="22">
        <v>7.944</v>
      </c>
      <c r="E24" s="22">
        <v>-7.293</v>
      </c>
      <c r="F24" s="7"/>
      <c r="G24" s="7"/>
      <c r="H24" s="7"/>
      <c r="I24" s="7"/>
      <c r="J24" s="7"/>
      <c r="K24" s="19"/>
      <c r="L24" s="19"/>
      <c r="M24" s="19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>
      <c r="A25" s="29" t="s">
        <v>33</v>
      </c>
      <c r="B25" s="14"/>
      <c r="C25" s="30">
        <f t="shared" ref="C25:E25" si="4">AVERAGE(C20:C24)</f>
        <v>48.4806</v>
      </c>
      <c r="D25" s="30">
        <f t="shared" si="4"/>
        <v>8.82</v>
      </c>
      <c r="E25" s="30">
        <f t="shared" si="4"/>
        <v>-6.6142</v>
      </c>
      <c r="F25" s="31"/>
      <c r="G25" s="31"/>
      <c r="H25" s="30"/>
      <c r="I25" s="31"/>
      <c r="J25" s="31"/>
      <c r="K25" s="19"/>
      <c r="L25" s="19"/>
      <c r="M25" s="19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>
      <c r="A26" s="21"/>
      <c r="B26" s="32">
        <v>1.0</v>
      </c>
      <c r="C26" s="32">
        <v>48.798</v>
      </c>
      <c r="D26" s="32">
        <v>5.858</v>
      </c>
      <c r="E26" s="32">
        <v>-12.297</v>
      </c>
      <c r="F26" s="33">
        <v>16.145</v>
      </c>
      <c r="G26" s="33">
        <v>9.539</v>
      </c>
      <c r="H26" s="33">
        <v>11.002</v>
      </c>
      <c r="I26" s="33">
        <v>5.455</v>
      </c>
      <c r="J26" s="33">
        <v>0.0</v>
      </c>
      <c r="K26" s="19"/>
      <c r="L26" s="19"/>
      <c r="M26" s="19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>
      <c r="A27" s="19"/>
      <c r="B27" s="32">
        <v>2.0</v>
      </c>
      <c r="C27" s="32">
        <v>50.211</v>
      </c>
      <c r="D27" s="32">
        <v>6.65</v>
      </c>
      <c r="E27" s="32">
        <v>-12.633</v>
      </c>
      <c r="K27" s="19"/>
      <c r="L27" s="19"/>
      <c r="M27" s="19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>
      <c r="A28" s="21">
        <v>8.5</v>
      </c>
      <c r="B28" s="32">
        <v>3.0</v>
      </c>
      <c r="C28" s="32">
        <v>48.191</v>
      </c>
      <c r="D28" s="32">
        <v>8.496</v>
      </c>
      <c r="E28" s="32">
        <v>-11.632</v>
      </c>
      <c r="K28" s="19"/>
      <c r="L28" s="19"/>
      <c r="M28" s="19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>
      <c r="A29" s="19"/>
      <c r="B29" s="32">
        <v>4.0</v>
      </c>
      <c r="C29" s="32">
        <v>46.193</v>
      </c>
      <c r="D29" s="32">
        <v>7.921</v>
      </c>
      <c r="E29" s="32">
        <v>-10.803</v>
      </c>
      <c r="K29" s="19"/>
      <c r="L29" s="19"/>
      <c r="M29" s="19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>
      <c r="A30" s="19"/>
      <c r="B30" s="32">
        <v>5.0</v>
      </c>
      <c r="C30" s="32">
        <v>46.806</v>
      </c>
      <c r="D30" s="32">
        <v>7.757</v>
      </c>
      <c r="E30" s="32">
        <v>-11.858</v>
      </c>
      <c r="F30" s="7"/>
      <c r="G30" s="7"/>
      <c r="H30" s="7"/>
      <c r="I30" s="7"/>
      <c r="J30" s="7"/>
      <c r="K30" s="19"/>
      <c r="L30" s="19"/>
      <c r="M30" s="19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>
      <c r="A31" s="34" t="s">
        <v>33</v>
      </c>
      <c r="B31" s="35"/>
      <c r="C31" s="36">
        <f t="shared" ref="C31:E31" si="5">AVERAGE(C26:C30)</f>
        <v>48.0398</v>
      </c>
      <c r="D31" s="36">
        <f t="shared" si="5"/>
        <v>7.3364</v>
      </c>
      <c r="E31" s="36">
        <f t="shared" si="5"/>
        <v>-11.8446</v>
      </c>
      <c r="F31" s="36"/>
      <c r="G31" s="36"/>
      <c r="H31" s="36"/>
      <c r="I31" s="36"/>
      <c r="J31" s="36"/>
      <c r="K31" s="19"/>
      <c r="L31" s="19"/>
      <c r="M31" s="19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</row>
  </sheetData>
  <mergeCells count="30">
    <mergeCell ref="I8:I12"/>
    <mergeCell ref="J8:J12"/>
    <mergeCell ref="A13:B13"/>
    <mergeCell ref="A19:B19"/>
    <mergeCell ref="A25:B25"/>
    <mergeCell ref="A31:B31"/>
    <mergeCell ref="F2:F6"/>
    <mergeCell ref="G2:G6"/>
    <mergeCell ref="H2:H6"/>
    <mergeCell ref="I2:I6"/>
    <mergeCell ref="J2:J6"/>
    <mergeCell ref="A7:B7"/>
    <mergeCell ref="F8:F12"/>
    <mergeCell ref="G8:G12"/>
    <mergeCell ref="H8:H12"/>
    <mergeCell ref="F14:F18"/>
    <mergeCell ref="G14:G18"/>
    <mergeCell ref="H14:H18"/>
    <mergeCell ref="I14:I18"/>
    <mergeCell ref="J14:J18"/>
    <mergeCell ref="H26:H30"/>
    <mergeCell ref="I26:I30"/>
    <mergeCell ref="F20:F24"/>
    <mergeCell ref="G20:G24"/>
    <mergeCell ref="H20:H24"/>
    <mergeCell ref="I20:I24"/>
    <mergeCell ref="J20:J24"/>
    <mergeCell ref="F26:F30"/>
    <mergeCell ref="G26:G30"/>
    <mergeCell ref="J26:J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26.75"/>
    <col customWidth="1" min="4" max="4" width="27.5"/>
    <col customWidth="1" min="5" max="5" width="21.88"/>
  </cols>
  <sheetData>
    <row r="1">
      <c r="A1" s="37" t="s">
        <v>0</v>
      </c>
      <c r="B1" s="37" t="s">
        <v>35</v>
      </c>
      <c r="C1" s="37" t="s">
        <v>36</v>
      </c>
      <c r="D1" s="37" t="s">
        <v>37</v>
      </c>
      <c r="E1" s="37" t="s">
        <v>38</v>
      </c>
      <c r="F1" s="37" t="s">
        <v>39</v>
      </c>
      <c r="G1" s="37" t="s">
        <v>40</v>
      </c>
      <c r="H1" s="37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>
      <c r="A2" s="5" t="s">
        <v>42</v>
      </c>
      <c r="B2" s="21">
        <v>1.0</v>
      </c>
      <c r="C2" s="21">
        <v>2.0</v>
      </c>
      <c r="D2" s="21">
        <f>(PI()/4)*(C2)^2</f>
        <v>3.141592654</v>
      </c>
      <c r="E2" s="21">
        <v>830.0</v>
      </c>
      <c r="F2" s="4">
        <f>AVERAGE(E2:E6)</f>
        <v>956</v>
      </c>
      <c r="G2" s="19">
        <f>DIVIDE(E2,D2)</f>
        <v>264.1972055</v>
      </c>
      <c r="H2" s="4">
        <f>AVERAGE(G2:G6)</f>
        <v>372.4038007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>
      <c r="B3" s="21">
        <v>2.0</v>
      </c>
      <c r="C3" s="21">
        <v>1.9</v>
      </c>
      <c r="D3" s="21">
        <f>(PI()/4)*C3^2</f>
        <v>2.83528737</v>
      </c>
      <c r="E3" s="21">
        <v>960.0</v>
      </c>
      <c r="G3" s="19">
        <f t="shared" ref="G3:G16" si="1">DIVIDE(E3, D3)</f>
        <v>338.5900174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B4" s="21">
        <v>3.0</v>
      </c>
      <c r="C4" s="21">
        <v>1.7</v>
      </c>
      <c r="D4" s="21">
        <f t="shared" ref="D4:D16" si="2">(PI()/4)*C4^2</f>
        <v>2.269800692</v>
      </c>
      <c r="E4" s="21">
        <v>1040.0</v>
      </c>
      <c r="G4" s="19">
        <f t="shared" si="1"/>
        <v>458.1900092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B5" s="21">
        <v>4.0</v>
      </c>
      <c r="C5" s="21">
        <v>2.3</v>
      </c>
      <c r="D5" s="21">
        <f t="shared" si="2"/>
        <v>4.154756284</v>
      </c>
      <c r="E5" s="21">
        <v>930.0</v>
      </c>
      <c r="G5" s="19">
        <f t="shared" si="1"/>
        <v>223.8398443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7"/>
      <c r="B6" s="22">
        <v>5.0</v>
      </c>
      <c r="C6" s="22">
        <v>1.5</v>
      </c>
      <c r="D6" s="22">
        <f t="shared" si="2"/>
        <v>1.767145868</v>
      </c>
      <c r="E6" s="22">
        <v>1020.0</v>
      </c>
      <c r="F6" s="7"/>
      <c r="G6" s="25">
        <f t="shared" si="1"/>
        <v>577.2019269</v>
      </c>
      <c r="H6" s="7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5" t="s">
        <v>43</v>
      </c>
      <c r="B7" s="21">
        <v>1.0</v>
      </c>
      <c r="C7" s="21">
        <v>1.2</v>
      </c>
      <c r="D7" s="21">
        <f t="shared" si="2"/>
        <v>1.130973355</v>
      </c>
      <c r="E7" s="21">
        <v>600.0</v>
      </c>
      <c r="F7" s="4">
        <f>average(E7:E11)</f>
        <v>584</v>
      </c>
      <c r="G7" s="19">
        <f t="shared" si="1"/>
        <v>530.516477</v>
      </c>
      <c r="H7" s="4">
        <f>average(G7:G11)</f>
        <v>345.1187286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B8" s="21">
        <v>2.0</v>
      </c>
      <c r="C8" s="21">
        <v>1.5</v>
      </c>
      <c r="D8" s="21">
        <f t="shared" si="2"/>
        <v>1.767145868</v>
      </c>
      <c r="E8" s="21">
        <v>580.0</v>
      </c>
      <c r="G8" s="19">
        <f t="shared" si="1"/>
        <v>328.2128604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B9" s="21">
        <v>3.0</v>
      </c>
      <c r="C9" s="21">
        <v>1.6</v>
      </c>
      <c r="D9" s="21">
        <f t="shared" si="2"/>
        <v>2.010619298</v>
      </c>
      <c r="E9" s="21">
        <v>530.0</v>
      </c>
      <c r="G9" s="19">
        <f t="shared" si="1"/>
        <v>263.6003745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B10" s="21">
        <v>4.0</v>
      </c>
      <c r="C10" s="21">
        <v>1.5</v>
      </c>
      <c r="D10" s="21">
        <f t="shared" si="2"/>
        <v>1.767145868</v>
      </c>
      <c r="E10" s="21">
        <v>560.0</v>
      </c>
      <c r="G10" s="19">
        <f t="shared" si="1"/>
        <v>316.8951756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7"/>
      <c r="B11" s="22">
        <v>5.0</v>
      </c>
      <c r="C11" s="22">
        <v>1.7</v>
      </c>
      <c r="D11" s="22">
        <f t="shared" si="2"/>
        <v>2.269800692</v>
      </c>
      <c r="E11" s="22">
        <v>650.0</v>
      </c>
      <c r="F11" s="7"/>
      <c r="G11" s="25">
        <f t="shared" si="1"/>
        <v>286.3687557</v>
      </c>
      <c r="H11" s="7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5" t="s">
        <v>44</v>
      </c>
      <c r="B12" s="21">
        <v>1.0</v>
      </c>
      <c r="C12" s="21">
        <v>1.0</v>
      </c>
      <c r="D12" s="21">
        <f t="shared" si="2"/>
        <v>0.7853981634</v>
      </c>
      <c r="E12" s="21">
        <v>260.0</v>
      </c>
      <c r="F12" s="4">
        <f>average(E12:E16)</f>
        <v>270</v>
      </c>
      <c r="G12" s="19">
        <f t="shared" si="1"/>
        <v>331.0422816</v>
      </c>
      <c r="H12" s="4">
        <f>average(G12:G16)</f>
        <v>343.7746771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B13" s="21">
        <v>2.0</v>
      </c>
      <c r="C13" s="21">
        <v>1.0</v>
      </c>
      <c r="D13" s="21">
        <f t="shared" si="2"/>
        <v>0.7853981634</v>
      </c>
      <c r="E13" s="21">
        <v>270.0</v>
      </c>
      <c r="G13" s="19">
        <f t="shared" si="1"/>
        <v>343.7746771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B14" s="21">
        <v>3.0</v>
      </c>
      <c r="C14" s="21">
        <v>1.0</v>
      </c>
      <c r="D14" s="21">
        <f t="shared" si="2"/>
        <v>0.7853981634</v>
      </c>
      <c r="E14" s="21">
        <v>290.0</v>
      </c>
      <c r="G14" s="19">
        <f t="shared" si="1"/>
        <v>369.239468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B15" s="21">
        <v>4.0</v>
      </c>
      <c r="C15" s="21">
        <v>1.0</v>
      </c>
      <c r="D15" s="21">
        <f t="shared" si="2"/>
        <v>0.7853981634</v>
      </c>
      <c r="E15" s="21">
        <v>280.0</v>
      </c>
      <c r="G15" s="19">
        <f t="shared" si="1"/>
        <v>356.5070725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38"/>
      <c r="B16" s="39">
        <v>5.0</v>
      </c>
      <c r="C16" s="39">
        <v>1.0</v>
      </c>
      <c r="D16" s="39">
        <f t="shared" si="2"/>
        <v>0.7853981634</v>
      </c>
      <c r="E16" s="39">
        <v>250.0</v>
      </c>
      <c r="F16" s="38"/>
      <c r="G16" s="40">
        <f t="shared" si="1"/>
        <v>318.3098862</v>
      </c>
      <c r="H16" s="38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</sheetData>
  <mergeCells count="9">
    <mergeCell ref="H7:H11"/>
    <mergeCell ref="H12:H16"/>
    <mergeCell ref="A2:A6"/>
    <mergeCell ref="F2:F6"/>
    <mergeCell ref="H2:H6"/>
    <mergeCell ref="A7:A11"/>
    <mergeCell ref="F7:F11"/>
    <mergeCell ref="A12:A16"/>
    <mergeCell ref="F12:F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35</v>
      </c>
      <c r="C1" s="2" t="s">
        <v>45</v>
      </c>
      <c r="D1" s="2" t="s">
        <v>33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5">
        <v>5.5</v>
      </c>
      <c r="B2" s="8">
        <v>1.0</v>
      </c>
      <c r="C2" s="8">
        <v>5.28</v>
      </c>
      <c r="D2" s="4">
        <f>AVERAGE(C2:C6)</f>
        <v>4.566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B3" s="8">
        <v>2.0</v>
      </c>
      <c r="C3" s="8">
        <v>5.27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B4" s="8">
        <v>3.0</v>
      </c>
      <c r="C4" s="8">
        <v>3.28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B5" s="8">
        <v>4.0</v>
      </c>
      <c r="C5" s="8">
        <v>4.4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7"/>
      <c r="B6" s="8">
        <v>5.0</v>
      </c>
      <c r="C6" s="8">
        <v>4.6</v>
      </c>
      <c r="D6" s="7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5">
        <v>6.5</v>
      </c>
      <c r="B7" s="8">
        <v>1.0</v>
      </c>
      <c r="C7" s="8">
        <v>5.6</v>
      </c>
      <c r="D7" s="4">
        <f>AVERAGE(C7:C11)</f>
        <v>6.12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B8" s="8">
        <v>2.0</v>
      </c>
      <c r="C8" s="8">
        <v>7.1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B9" s="8">
        <v>3.0</v>
      </c>
      <c r="C9" s="8">
        <v>4.85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B10" s="8">
        <v>4.0</v>
      </c>
      <c r="C10" s="8">
        <v>7.0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7"/>
      <c r="B11" s="8">
        <v>5.0</v>
      </c>
      <c r="C11" s="8">
        <v>6.05</v>
      </c>
      <c r="D11" s="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5">
        <v>7.0</v>
      </c>
      <c r="B12" s="8">
        <v>1.0</v>
      </c>
      <c r="C12" s="8">
        <v>4.44</v>
      </c>
      <c r="D12" s="4">
        <f>AVERAGE(C12:C16)</f>
        <v>4.28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B13" s="8">
        <v>2.0</v>
      </c>
      <c r="C13" s="8">
        <v>3.52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B14" s="8">
        <v>3.0</v>
      </c>
      <c r="C14" s="8">
        <v>4.24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B15" s="8">
        <v>4.0</v>
      </c>
      <c r="C15" s="8">
        <v>4.65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7"/>
      <c r="B16" s="8">
        <v>5.0</v>
      </c>
      <c r="C16" s="8">
        <v>4.55</v>
      </c>
      <c r="D16" s="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5">
        <v>7.5</v>
      </c>
      <c r="B17" s="8">
        <v>1.0</v>
      </c>
      <c r="C17" s="8">
        <v>3.81</v>
      </c>
      <c r="D17" s="4">
        <f>AVERAGE(C17:C21)</f>
        <v>3.458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B18" s="8">
        <v>2.0</v>
      </c>
      <c r="C18" s="8">
        <v>3.17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B19" s="8">
        <v>3.0</v>
      </c>
      <c r="C19" s="8">
        <v>3.17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B20" s="8">
        <v>4.0</v>
      </c>
      <c r="C20" s="8">
        <v>3.52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7"/>
      <c r="B21" s="8">
        <v>5.0</v>
      </c>
      <c r="C21" s="8">
        <v>3.62</v>
      </c>
      <c r="D21" s="7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5">
        <v>8.5</v>
      </c>
      <c r="B22" s="8">
        <v>1.0</v>
      </c>
      <c r="C22" s="8">
        <v>1.15</v>
      </c>
      <c r="D22" s="4">
        <f>AVERAGE(C22:C26)</f>
        <v>1.502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B23" s="8">
        <v>2.0</v>
      </c>
      <c r="C23" s="8">
        <v>1.43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B24" s="8">
        <v>3.0</v>
      </c>
      <c r="C24" s="8">
        <v>1.71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B25" s="8">
        <v>4.0</v>
      </c>
      <c r="C25" s="8">
        <v>1.69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7"/>
      <c r="B26" s="8">
        <v>5.0</v>
      </c>
      <c r="C26" s="8">
        <v>1.53</v>
      </c>
      <c r="D26" s="7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0">
    <mergeCell ref="A17:A21"/>
    <mergeCell ref="A22:A26"/>
    <mergeCell ref="A2:A6"/>
    <mergeCell ref="D2:D6"/>
    <mergeCell ref="A7:A11"/>
    <mergeCell ref="D7:D11"/>
    <mergeCell ref="A12:A16"/>
    <mergeCell ref="D12:D16"/>
    <mergeCell ref="D17:D21"/>
    <mergeCell ref="D22:D26"/>
  </mergeCells>
  <drawing r:id="rId1"/>
</worksheet>
</file>