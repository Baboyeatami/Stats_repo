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freshliannes.rosal/Downloads/"/>
    </mc:Choice>
  </mc:AlternateContent>
  <xr:revisionPtr revIDLastSave="0" documentId="13_ncr:1_{F66B115B-650C-AB43-A212-87A3B6697B7A}" xr6:coauthVersionLast="47" xr6:coauthVersionMax="47" xr10:uidLastSave="{00000000-0000-0000-0000-000000000000}"/>
  <bookViews>
    <workbookView xWindow="0" yWindow="600" windowWidth="38400" windowHeight="19700" firstSheet="2" activeTab="2" xr2:uid="{00000000-000D-0000-FFFF-FFFF00000000}"/>
  </bookViews>
  <sheets>
    <sheet name="WAC(%)" sheetId="1" r:id="rId1"/>
    <sheet name="Color" sheetId="2" r:id="rId2"/>
    <sheet name="Zone inihibition" sheetId="3" r:id="rId3"/>
    <sheet name="Aw" sheetId="4" r:id="rId4"/>
    <sheet name="%MC" sheetId="5" r:id="rId5"/>
    <sheet name="WSI" sheetId="6" r:id="rId6"/>
    <sheet name="DO NOT INPUT ANYTHING HERE!!!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7" l="1"/>
  <c r="L32" i="7"/>
  <c r="K32" i="7"/>
  <c r="J32" i="7"/>
  <c r="I32" i="7"/>
  <c r="H32" i="7"/>
  <c r="G32" i="7"/>
  <c r="F32" i="7"/>
  <c r="E32" i="7"/>
  <c r="D32" i="7"/>
  <c r="C32" i="7"/>
  <c r="B32" i="7"/>
  <c r="M31" i="7"/>
  <c r="L31" i="7"/>
  <c r="K31" i="7"/>
  <c r="J31" i="7"/>
  <c r="I31" i="7"/>
  <c r="H31" i="7"/>
  <c r="G31" i="7"/>
  <c r="F31" i="7"/>
  <c r="E31" i="7"/>
  <c r="D31" i="7"/>
  <c r="C31" i="7"/>
  <c r="B31" i="7"/>
  <c r="M30" i="7"/>
  <c r="L30" i="7"/>
  <c r="K30" i="7"/>
  <c r="J30" i="7"/>
  <c r="I30" i="7"/>
  <c r="H30" i="7"/>
  <c r="G30" i="7"/>
  <c r="F30" i="7"/>
  <c r="E30" i="7"/>
  <c r="D30" i="7"/>
  <c r="C30" i="7"/>
  <c r="B30" i="7"/>
  <c r="M29" i="7"/>
  <c r="L29" i="7"/>
  <c r="K29" i="7"/>
  <c r="J29" i="7"/>
  <c r="I29" i="7"/>
  <c r="H29" i="7"/>
  <c r="G29" i="7"/>
  <c r="F29" i="7"/>
  <c r="E29" i="7"/>
  <c r="D29" i="7"/>
  <c r="C29" i="7"/>
  <c r="B29" i="7"/>
  <c r="M28" i="7"/>
  <c r="L28" i="7"/>
  <c r="K28" i="7"/>
  <c r="J28" i="7"/>
  <c r="I28" i="7"/>
  <c r="H28" i="7"/>
  <c r="G28" i="7"/>
  <c r="F28" i="7"/>
  <c r="D28" i="7"/>
  <c r="C28" i="7"/>
  <c r="B28" i="7"/>
  <c r="M27" i="7"/>
  <c r="L27" i="7"/>
  <c r="K27" i="7"/>
  <c r="J27" i="7"/>
  <c r="I27" i="7"/>
  <c r="H27" i="7"/>
  <c r="G27" i="7"/>
  <c r="F27" i="7"/>
  <c r="E27" i="7"/>
  <c r="D27" i="7"/>
  <c r="C27" i="7"/>
  <c r="B27" i="7"/>
  <c r="M26" i="7"/>
  <c r="L26" i="7"/>
  <c r="K26" i="7"/>
  <c r="J26" i="7"/>
  <c r="I26" i="7"/>
  <c r="H26" i="7"/>
  <c r="G26" i="7"/>
  <c r="F26" i="7"/>
  <c r="E26" i="7"/>
  <c r="D26" i="7"/>
  <c r="C26" i="7"/>
  <c r="B26" i="7"/>
  <c r="M25" i="7"/>
  <c r="L25" i="7"/>
  <c r="K25" i="7"/>
  <c r="J25" i="7"/>
  <c r="I25" i="7"/>
  <c r="H25" i="7"/>
  <c r="G25" i="7"/>
  <c r="F25" i="7"/>
  <c r="E25" i="7"/>
  <c r="D25" i="7"/>
  <c r="C25" i="7"/>
  <c r="B25" i="7"/>
  <c r="M24" i="7"/>
  <c r="L24" i="7"/>
  <c r="K24" i="7"/>
  <c r="J24" i="7"/>
  <c r="I24" i="7"/>
  <c r="H24" i="7"/>
  <c r="G24" i="7"/>
  <c r="F24" i="7"/>
  <c r="E24" i="7"/>
  <c r="D24" i="7"/>
  <c r="C24" i="7"/>
  <c r="B24" i="7"/>
  <c r="M23" i="7"/>
  <c r="L23" i="7"/>
  <c r="K23" i="7"/>
  <c r="J23" i="7"/>
  <c r="I23" i="7"/>
  <c r="H23" i="7"/>
  <c r="G23" i="7"/>
  <c r="F23" i="7"/>
  <c r="E23" i="7"/>
  <c r="D23" i="7"/>
  <c r="C23" i="7"/>
  <c r="B23" i="7"/>
  <c r="M22" i="7"/>
  <c r="L22" i="7"/>
  <c r="K22" i="7"/>
  <c r="J22" i="7"/>
  <c r="I22" i="7"/>
  <c r="H22" i="7"/>
  <c r="G22" i="7"/>
  <c r="F22" i="7"/>
  <c r="E22" i="7"/>
  <c r="D22" i="7"/>
  <c r="C22" i="7"/>
  <c r="B22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M19" i="7"/>
  <c r="L19" i="7"/>
  <c r="K19" i="7"/>
  <c r="J19" i="7"/>
  <c r="I19" i="7"/>
  <c r="H19" i="7"/>
  <c r="G19" i="7"/>
  <c r="F19" i="7"/>
  <c r="E19" i="7"/>
  <c r="D19" i="7"/>
  <c r="C19" i="7"/>
  <c r="B19" i="7"/>
  <c r="M18" i="7"/>
  <c r="L18" i="7"/>
  <c r="K18" i="7"/>
  <c r="J18" i="7"/>
  <c r="I18" i="7"/>
  <c r="H18" i="7"/>
  <c r="G18" i="7"/>
  <c r="F18" i="7"/>
  <c r="E18" i="7"/>
  <c r="D18" i="7"/>
  <c r="C18" i="7"/>
  <c r="B18" i="7"/>
  <c r="M17" i="7"/>
  <c r="L17" i="7"/>
  <c r="K17" i="7"/>
  <c r="J17" i="7"/>
  <c r="I17" i="7"/>
  <c r="H17" i="7"/>
  <c r="G17" i="7"/>
  <c r="F17" i="7"/>
  <c r="E17" i="7"/>
  <c r="D17" i="7"/>
  <c r="C17" i="7"/>
  <c r="B17" i="7"/>
  <c r="M16" i="7"/>
  <c r="L16" i="7"/>
  <c r="K16" i="7"/>
  <c r="J16" i="7"/>
  <c r="I16" i="7"/>
  <c r="H16" i="7"/>
  <c r="G16" i="7"/>
  <c r="F16" i="7"/>
  <c r="E16" i="7"/>
  <c r="D16" i="7"/>
  <c r="C16" i="7"/>
  <c r="B16" i="7"/>
  <c r="M15" i="7"/>
  <c r="L15" i="7"/>
  <c r="K15" i="7"/>
  <c r="J15" i="7"/>
  <c r="I15" i="7"/>
  <c r="H15" i="7"/>
  <c r="G15" i="7"/>
  <c r="F15" i="7"/>
  <c r="E15" i="7"/>
  <c r="D15" i="7"/>
  <c r="C15" i="7"/>
  <c r="B15" i="7"/>
  <c r="M14" i="7"/>
  <c r="L14" i="7"/>
  <c r="K14" i="7"/>
  <c r="J14" i="7"/>
  <c r="I14" i="7"/>
  <c r="H14" i="7"/>
  <c r="G14" i="7"/>
  <c r="F14" i="7"/>
  <c r="E14" i="7"/>
  <c r="D14" i="7"/>
  <c r="C14" i="7"/>
  <c r="B14" i="7"/>
  <c r="M13" i="7"/>
  <c r="L13" i="7"/>
  <c r="K13" i="7"/>
  <c r="J13" i="7"/>
  <c r="I13" i="7"/>
  <c r="H13" i="7"/>
  <c r="G13" i="7"/>
  <c r="F13" i="7"/>
  <c r="E13" i="7"/>
  <c r="D13" i="7"/>
  <c r="C13" i="7"/>
  <c r="B13" i="7"/>
  <c r="M12" i="7"/>
  <c r="L12" i="7"/>
  <c r="K12" i="7"/>
  <c r="J12" i="7"/>
  <c r="I12" i="7"/>
  <c r="H12" i="7"/>
  <c r="G12" i="7"/>
  <c r="F12" i="7"/>
  <c r="E12" i="7"/>
  <c r="D12" i="7"/>
  <c r="C12" i="7"/>
  <c r="B12" i="7"/>
  <c r="M11" i="7"/>
  <c r="L11" i="7"/>
  <c r="K11" i="7"/>
  <c r="J11" i="7"/>
  <c r="I11" i="7"/>
  <c r="H11" i="7"/>
  <c r="G11" i="7"/>
  <c r="F11" i="7"/>
  <c r="E11" i="7"/>
  <c r="D11" i="7"/>
  <c r="C11" i="7"/>
  <c r="B11" i="7"/>
  <c r="M10" i="7"/>
  <c r="L10" i="7"/>
  <c r="K10" i="7"/>
  <c r="J10" i="7"/>
  <c r="I10" i="7"/>
  <c r="H10" i="7"/>
  <c r="G10" i="7"/>
  <c r="F10" i="7"/>
  <c r="E10" i="7"/>
  <c r="D10" i="7"/>
  <c r="C10" i="7"/>
  <c r="B10" i="7"/>
  <c r="M9" i="7"/>
  <c r="L9" i="7"/>
  <c r="K9" i="7"/>
  <c r="J9" i="7"/>
  <c r="I9" i="7"/>
  <c r="H9" i="7"/>
  <c r="G9" i="7"/>
  <c r="F9" i="7"/>
  <c r="E9" i="7"/>
  <c r="D9" i="7"/>
  <c r="C9" i="7"/>
  <c r="B9" i="7"/>
  <c r="M8" i="7"/>
  <c r="L8" i="7"/>
  <c r="K8" i="7"/>
  <c r="J8" i="7"/>
  <c r="I8" i="7"/>
  <c r="H8" i="7"/>
  <c r="G8" i="7"/>
  <c r="F8" i="7"/>
  <c r="E8" i="7"/>
  <c r="D8" i="7"/>
  <c r="C8" i="7"/>
  <c r="B8" i="7"/>
  <c r="M7" i="7"/>
  <c r="L7" i="7"/>
  <c r="K7" i="7"/>
  <c r="J7" i="7"/>
  <c r="I7" i="7"/>
  <c r="H7" i="7"/>
  <c r="G7" i="7"/>
  <c r="F7" i="7"/>
  <c r="E7" i="7"/>
  <c r="D7" i="7"/>
  <c r="C7" i="7"/>
  <c r="B7" i="7"/>
  <c r="M6" i="7"/>
  <c r="L6" i="7"/>
  <c r="K6" i="7"/>
  <c r="J6" i="7"/>
  <c r="I6" i="7"/>
  <c r="H6" i="7"/>
  <c r="G6" i="7"/>
  <c r="F6" i="7"/>
  <c r="E6" i="7"/>
  <c r="D6" i="7"/>
  <c r="C6" i="7"/>
  <c r="B6" i="7"/>
  <c r="M5" i="7"/>
  <c r="L5" i="7"/>
  <c r="K5" i="7"/>
  <c r="J5" i="7"/>
  <c r="I5" i="7"/>
  <c r="H5" i="7"/>
  <c r="G5" i="7"/>
  <c r="F5" i="7"/>
  <c r="E5" i="7"/>
  <c r="D5" i="7"/>
  <c r="C5" i="7"/>
  <c r="B5" i="7"/>
  <c r="M4" i="7"/>
  <c r="L4" i="7"/>
  <c r="K4" i="7"/>
  <c r="J4" i="7"/>
  <c r="I4" i="7"/>
  <c r="H4" i="7"/>
  <c r="G4" i="7"/>
  <c r="F4" i="7"/>
  <c r="E4" i="7"/>
  <c r="D4" i="7"/>
  <c r="C4" i="7"/>
  <c r="B4" i="7"/>
  <c r="M3" i="7"/>
  <c r="L3" i="7"/>
  <c r="K3" i="7"/>
  <c r="J3" i="7"/>
  <c r="I3" i="7"/>
  <c r="H3" i="7"/>
  <c r="G3" i="7"/>
  <c r="F3" i="7"/>
  <c r="E3" i="7"/>
  <c r="D3" i="7"/>
  <c r="C3" i="7"/>
  <c r="B3" i="7"/>
  <c r="C26" i="6"/>
  <c r="D28" i="6" s="1"/>
  <c r="E28" i="6" s="1"/>
  <c r="C23" i="6"/>
  <c r="D22" i="6"/>
  <c r="E22" i="6" s="1"/>
  <c r="D20" i="6"/>
  <c r="E20" i="6" s="1"/>
  <c r="C20" i="6"/>
  <c r="D21" i="6" s="1"/>
  <c r="E21" i="6" s="1"/>
  <c r="C17" i="6"/>
  <c r="D14" i="6"/>
  <c r="E14" i="6" s="1"/>
  <c r="C14" i="6"/>
  <c r="D16" i="6" s="1"/>
  <c r="E16" i="6" s="1"/>
  <c r="D12" i="6"/>
  <c r="E12" i="6" s="1"/>
  <c r="D11" i="6"/>
  <c r="E11" i="6" s="1"/>
  <c r="F11" i="6" s="1"/>
  <c r="G11" i="6" s="1"/>
  <c r="C11" i="6"/>
  <c r="D13" i="6" s="1"/>
  <c r="E13" i="6" s="1"/>
  <c r="D10" i="6"/>
  <c r="E10" i="6" s="1"/>
  <c r="D9" i="6"/>
  <c r="E9" i="6" s="1"/>
  <c r="E8" i="6"/>
  <c r="D8" i="6"/>
  <c r="C8" i="6"/>
  <c r="D7" i="6"/>
  <c r="E7" i="6" s="1"/>
  <c r="E6" i="6"/>
  <c r="D6" i="6"/>
  <c r="F5" i="6"/>
  <c r="G5" i="6" s="1"/>
  <c r="C5" i="6"/>
  <c r="D5" i="6" s="1"/>
  <c r="E5" i="6" s="1"/>
  <c r="D4" i="6"/>
  <c r="E4" i="6" s="1"/>
  <c r="C2" i="6"/>
  <c r="D2" i="6" s="1"/>
  <c r="E2" i="6" s="1"/>
  <c r="C26" i="5"/>
  <c r="C23" i="5"/>
  <c r="D22" i="5"/>
  <c r="E22" i="5" s="1"/>
  <c r="C20" i="5"/>
  <c r="D21" i="5" s="1"/>
  <c r="E21" i="5" s="1"/>
  <c r="E17" i="5"/>
  <c r="D17" i="5"/>
  <c r="C17" i="5"/>
  <c r="D15" i="5"/>
  <c r="E15" i="5" s="1"/>
  <c r="D14" i="5"/>
  <c r="E14" i="5" s="1"/>
  <c r="C14" i="5"/>
  <c r="D16" i="5" s="1"/>
  <c r="E16" i="5" s="1"/>
  <c r="F14" i="5" s="1"/>
  <c r="G14" i="5" s="1"/>
  <c r="D13" i="5"/>
  <c r="E13" i="5" s="1"/>
  <c r="D12" i="5"/>
  <c r="E12" i="5" s="1"/>
  <c r="E11" i="5"/>
  <c r="F11" i="5" s="1"/>
  <c r="G11" i="5" s="1"/>
  <c r="D11" i="5"/>
  <c r="C11" i="5"/>
  <c r="D10" i="5"/>
  <c r="E10" i="5" s="1"/>
  <c r="D9" i="5"/>
  <c r="E9" i="5" s="1"/>
  <c r="C8" i="5"/>
  <c r="D8" i="5" s="1"/>
  <c r="E8" i="5" s="1"/>
  <c r="F8" i="5" s="1"/>
  <c r="G8" i="5" s="1"/>
  <c r="D7" i="5"/>
  <c r="E7" i="5" s="1"/>
  <c r="C5" i="5"/>
  <c r="D5" i="5" s="1"/>
  <c r="E5" i="5" s="1"/>
  <c r="D4" i="5"/>
  <c r="E4" i="5" s="1"/>
  <c r="E3" i="5"/>
  <c r="D3" i="5"/>
  <c r="D2" i="5"/>
  <c r="E2" i="5" s="1"/>
  <c r="C2" i="5"/>
  <c r="C26" i="4"/>
  <c r="D23" i="4"/>
  <c r="E23" i="4" s="1"/>
  <c r="C23" i="4"/>
  <c r="C20" i="4"/>
  <c r="D18" i="4"/>
  <c r="E18" i="4" s="1"/>
  <c r="E17" i="4"/>
  <c r="F17" i="4" s="1"/>
  <c r="G17" i="4" s="1"/>
  <c r="D17" i="4"/>
  <c r="C17" i="4"/>
  <c r="D19" i="4" s="1"/>
  <c r="E19" i="4" s="1"/>
  <c r="D16" i="4"/>
  <c r="E16" i="4" s="1"/>
  <c r="D15" i="4"/>
  <c r="E15" i="4" s="1"/>
  <c r="E14" i="4"/>
  <c r="F14" i="4" s="1"/>
  <c r="G14" i="4" s="1"/>
  <c r="D14" i="4"/>
  <c r="C14" i="4"/>
  <c r="D13" i="4"/>
  <c r="E13" i="4" s="1"/>
  <c r="D12" i="4"/>
  <c r="E12" i="4" s="1"/>
  <c r="G11" i="4"/>
  <c r="F11" i="4"/>
  <c r="C11" i="4"/>
  <c r="D11" i="4" s="1"/>
  <c r="E11" i="4" s="1"/>
  <c r="C8" i="4"/>
  <c r="D7" i="4"/>
  <c r="E7" i="4" s="1"/>
  <c r="C5" i="4"/>
  <c r="D6" i="4" s="1"/>
  <c r="E6" i="4" s="1"/>
  <c r="D4" i="4"/>
  <c r="E4" i="4" s="1"/>
  <c r="E3" i="4"/>
  <c r="E2" i="4"/>
  <c r="D2" i="4"/>
  <c r="C2" i="4"/>
  <c r="D3" i="4" s="1"/>
  <c r="D29" i="3"/>
  <c r="E29" i="3" s="1"/>
  <c r="T28" i="3"/>
  <c r="U28" i="3" s="1"/>
  <c r="S27" i="3"/>
  <c r="K27" i="3"/>
  <c r="D27" i="3"/>
  <c r="E27" i="3" s="1"/>
  <c r="F27" i="3" s="1"/>
  <c r="G27" i="3" s="1"/>
  <c r="C27" i="3"/>
  <c r="D28" i="3" s="1"/>
  <c r="E28" i="3" s="1"/>
  <c r="T26" i="3"/>
  <c r="U26" i="3" s="1"/>
  <c r="M26" i="3"/>
  <c r="L26" i="3"/>
  <c r="U25" i="3"/>
  <c r="T25" i="3"/>
  <c r="D25" i="3"/>
  <c r="E25" i="3" s="1"/>
  <c r="U24" i="3"/>
  <c r="V24" i="3" s="1"/>
  <c r="W24" i="3" s="1"/>
  <c r="T24" i="3"/>
  <c r="S24" i="3"/>
  <c r="L24" i="3"/>
  <c r="M24" i="3" s="1"/>
  <c r="N24" i="3" s="1"/>
  <c r="O24" i="3" s="1"/>
  <c r="K24" i="3"/>
  <c r="L25" i="3" s="1"/>
  <c r="M25" i="3" s="1"/>
  <c r="C24" i="3"/>
  <c r="L23" i="3"/>
  <c r="M23" i="3" s="1"/>
  <c r="T22" i="3"/>
  <c r="U22" i="3" s="1"/>
  <c r="L22" i="3"/>
  <c r="M22" i="3" s="1"/>
  <c r="S21" i="3"/>
  <c r="T23" i="3" s="1"/>
  <c r="U23" i="3" s="1"/>
  <c r="M21" i="3"/>
  <c r="L21" i="3"/>
  <c r="K21" i="3"/>
  <c r="C21" i="3"/>
  <c r="D23" i="3" s="1"/>
  <c r="E23" i="3" s="1"/>
  <c r="E20" i="3"/>
  <c r="D20" i="3"/>
  <c r="D19" i="3"/>
  <c r="E19" i="3" s="1"/>
  <c r="S18" i="3"/>
  <c r="L18" i="3"/>
  <c r="M18" i="3" s="1"/>
  <c r="K18" i="3"/>
  <c r="E18" i="3"/>
  <c r="D18" i="3"/>
  <c r="C18" i="3"/>
  <c r="T17" i="3"/>
  <c r="U17" i="3" s="1"/>
  <c r="L16" i="3"/>
  <c r="M16" i="3" s="1"/>
  <c r="S15" i="3"/>
  <c r="M15" i="3"/>
  <c r="N15" i="3" s="1"/>
  <c r="O15" i="3" s="1"/>
  <c r="L15" i="3"/>
  <c r="K15" i="3"/>
  <c r="L17" i="3" s="1"/>
  <c r="M17" i="3" s="1"/>
  <c r="D15" i="3"/>
  <c r="E15" i="3" s="1"/>
  <c r="C15" i="3"/>
  <c r="M13" i="3"/>
  <c r="L13" i="3"/>
  <c r="S12" i="3"/>
  <c r="T13" i="3" s="1"/>
  <c r="U13" i="3" s="1"/>
  <c r="M12" i="3"/>
  <c r="K12" i="3"/>
  <c r="L12" i="3" s="1"/>
  <c r="D12" i="3"/>
  <c r="E12" i="3" s="1"/>
  <c r="C12" i="3"/>
  <c r="M10" i="3"/>
  <c r="D10" i="3"/>
  <c r="E10" i="3" s="1"/>
  <c r="S9" i="3"/>
  <c r="L9" i="3"/>
  <c r="M9" i="3" s="1"/>
  <c r="K9" i="3"/>
  <c r="L10" i="3" s="1"/>
  <c r="C9" i="3"/>
  <c r="T8" i="3"/>
  <c r="U8" i="3" s="1"/>
  <c r="M8" i="3"/>
  <c r="L7" i="3"/>
  <c r="M7" i="3" s="1"/>
  <c r="S6" i="3"/>
  <c r="T6" i="3" s="1"/>
  <c r="U6" i="3" s="1"/>
  <c r="M6" i="3"/>
  <c r="N6" i="3" s="1"/>
  <c r="O6" i="3" s="1"/>
  <c r="L6" i="3"/>
  <c r="K6" i="3"/>
  <c r="L8" i="3" s="1"/>
  <c r="C6" i="3"/>
  <c r="T5" i="3"/>
  <c r="U5" i="3" s="1"/>
  <c r="L4" i="3"/>
  <c r="M4" i="3" s="1"/>
  <c r="S3" i="3"/>
  <c r="T3" i="3" s="1"/>
  <c r="U3" i="3" s="1"/>
  <c r="K3" i="3"/>
  <c r="D3" i="3"/>
  <c r="E3" i="3" s="1"/>
  <c r="C3" i="3"/>
  <c r="AK29" i="2"/>
  <c r="AJ29" i="2"/>
  <c r="T29" i="2"/>
  <c r="U29" i="2" s="1"/>
  <c r="L29" i="2"/>
  <c r="M29" i="2" s="1"/>
  <c r="D29" i="2"/>
  <c r="E29" i="2" s="1"/>
  <c r="AJ28" i="2"/>
  <c r="AK28" i="2" s="1"/>
  <c r="AL27" i="2" s="1"/>
  <c r="AM27" i="2" s="1"/>
  <c r="AB28" i="2"/>
  <c r="AC28" i="2" s="1"/>
  <c r="T28" i="2"/>
  <c r="U28" i="2" s="1"/>
  <c r="L28" i="2"/>
  <c r="M28" i="2" s="1"/>
  <c r="AQ27" i="2"/>
  <c r="AR28" i="2" s="1"/>
  <c r="AS28" i="2" s="1"/>
  <c r="AK27" i="2"/>
  <c r="AI27" i="2"/>
  <c r="AJ27" i="2" s="1"/>
  <c r="AA27" i="2"/>
  <c r="AB29" i="2" s="1"/>
  <c r="AC29" i="2" s="1"/>
  <c r="S27" i="2"/>
  <c r="T27" i="2" s="1"/>
  <c r="U27" i="2" s="1"/>
  <c r="L27" i="2"/>
  <c r="M27" i="2" s="1"/>
  <c r="N27" i="2" s="1"/>
  <c r="O27" i="2" s="1"/>
  <c r="K27" i="2"/>
  <c r="C27" i="2"/>
  <c r="D28" i="2" s="1"/>
  <c r="E28" i="2" s="1"/>
  <c r="AJ26" i="2"/>
  <c r="AK26" i="2" s="1"/>
  <c r="T26" i="2"/>
  <c r="U26" i="2" s="1"/>
  <c r="T25" i="2"/>
  <c r="U25" i="2" s="1"/>
  <c r="L25" i="2"/>
  <c r="M25" i="2" s="1"/>
  <c r="AQ24" i="2"/>
  <c r="AR24" i="2" s="1"/>
  <c r="AS24" i="2" s="1"/>
  <c r="AI24" i="2"/>
  <c r="AJ24" i="2" s="1"/>
  <c r="AK24" i="2" s="1"/>
  <c r="AA24" i="2"/>
  <c r="S24" i="2"/>
  <c r="T24" i="2" s="1"/>
  <c r="U24" i="2" s="1"/>
  <c r="L24" i="2"/>
  <c r="M24" i="2" s="1"/>
  <c r="K24" i="2"/>
  <c r="L26" i="2" s="1"/>
  <c r="M26" i="2" s="1"/>
  <c r="C24" i="2"/>
  <c r="AS23" i="2"/>
  <c r="AR23" i="2"/>
  <c r="AK23" i="2"/>
  <c r="AJ23" i="2"/>
  <c r="D23" i="2"/>
  <c r="E23" i="2" s="1"/>
  <c r="AR22" i="2"/>
  <c r="AS22" i="2" s="1"/>
  <c r="U22" i="2"/>
  <c r="T22" i="2"/>
  <c r="AR21" i="2"/>
  <c r="AS21" i="2" s="1"/>
  <c r="AQ21" i="2"/>
  <c r="AI21" i="2"/>
  <c r="AJ22" i="2" s="1"/>
  <c r="AK22" i="2" s="1"/>
  <c r="AA21" i="2"/>
  <c r="S21" i="2"/>
  <c r="K21" i="2"/>
  <c r="L22" i="2" s="1"/>
  <c r="M22" i="2" s="1"/>
  <c r="C21" i="2"/>
  <c r="AR20" i="2"/>
  <c r="AS20" i="2" s="1"/>
  <c r="AJ20" i="2"/>
  <c r="AK20" i="2" s="1"/>
  <c r="AC20" i="2"/>
  <c r="AB20" i="2"/>
  <c r="D20" i="2"/>
  <c r="E20" i="2" s="1"/>
  <c r="AB19" i="2"/>
  <c r="AC19" i="2" s="1"/>
  <c r="T19" i="2"/>
  <c r="U19" i="2" s="1"/>
  <c r="AR18" i="2"/>
  <c r="AS18" i="2" s="1"/>
  <c r="AQ18" i="2"/>
  <c r="AR19" i="2" s="1"/>
  <c r="AS19" i="2" s="1"/>
  <c r="AK18" i="2"/>
  <c r="AJ18" i="2"/>
  <c r="AI18" i="2"/>
  <c r="AJ19" i="2" s="1"/>
  <c r="AK19" i="2" s="1"/>
  <c r="AB18" i="2"/>
  <c r="AC18" i="2" s="1"/>
  <c r="AD18" i="2" s="1"/>
  <c r="AE18" i="2" s="1"/>
  <c r="AA18" i="2"/>
  <c r="S18" i="2"/>
  <c r="K18" i="2"/>
  <c r="D18" i="2"/>
  <c r="E18" i="2" s="1"/>
  <c r="C18" i="2"/>
  <c r="D19" i="2" s="1"/>
  <c r="E19" i="2" s="1"/>
  <c r="AR17" i="2"/>
  <c r="AS17" i="2" s="1"/>
  <c r="AJ17" i="2"/>
  <c r="AK17" i="2" s="1"/>
  <c r="T17" i="2"/>
  <c r="U17" i="2" s="1"/>
  <c r="L17" i="2"/>
  <c r="M17" i="2" s="1"/>
  <c r="D17" i="2"/>
  <c r="E17" i="2" s="1"/>
  <c r="AJ16" i="2"/>
  <c r="AK16" i="2" s="1"/>
  <c r="T16" i="2"/>
  <c r="U16" i="2" s="1"/>
  <c r="L16" i="2"/>
  <c r="M16" i="2" s="1"/>
  <c r="AR15" i="2"/>
  <c r="AS15" i="2" s="1"/>
  <c r="AQ15" i="2"/>
  <c r="AR16" i="2" s="1"/>
  <c r="AS16" i="2" s="1"/>
  <c r="AT15" i="2" s="1"/>
  <c r="AU15" i="2" s="1"/>
  <c r="AM15" i="2"/>
  <c r="AL15" i="2"/>
  <c r="AK15" i="2"/>
  <c r="AI15" i="2"/>
  <c r="AJ15" i="2" s="1"/>
  <c r="AA15" i="2"/>
  <c r="S15" i="2"/>
  <c r="T15" i="2" s="1"/>
  <c r="U15" i="2" s="1"/>
  <c r="L15" i="2"/>
  <c r="M15" i="2" s="1"/>
  <c r="N15" i="2" s="1"/>
  <c r="O15" i="2" s="1"/>
  <c r="K15" i="2"/>
  <c r="D15" i="2"/>
  <c r="E15" i="2" s="1"/>
  <c r="F15" i="2" s="1"/>
  <c r="G15" i="2" s="1"/>
  <c r="C15" i="2"/>
  <c r="D16" i="2" s="1"/>
  <c r="E16" i="2" s="1"/>
  <c r="AR14" i="2"/>
  <c r="AS14" i="2" s="1"/>
  <c r="L14" i="2"/>
  <c r="M14" i="2" s="1"/>
  <c r="D14" i="2"/>
  <c r="E14" i="2" s="1"/>
  <c r="D13" i="2"/>
  <c r="E13" i="2" s="1"/>
  <c r="F12" i="2" s="1"/>
  <c r="G12" i="2" s="1"/>
  <c r="AS12" i="2"/>
  <c r="AR12" i="2"/>
  <c r="AQ12" i="2"/>
  <c r="AR13" i="2" s="1"/>
  <c r="AS13" i="2" s="1"/>
  <c r="AJ12" i="2"/>
  <c r="AK12" i="2" s="1"/>
  <c r="AI12" i="2"/>
  <c r="AA12" i="2"/>
  <c r="S12" i="2"/>
  <c r="T14" i="2" s="1"/>
  <c r="U14" i="2" s="1"/>
  <c r="L12" i="2"/>
  <c r="M12" i="2" s="1"/>
  <c r="K12" i="2"/>
  <c r="L13" i="2" s="1"/>
  <c r="M13" i="2" s="1"/>
  <c r="E12" i="2"/>
  <c r="D12" i="2"/>
  <c r="C12" i="2"/>
  <c r="AJ11" i="2"/>
  <c r="AK11" i="2" s="1"/>
  <c r="AC11" i="2"/>
  <c r="AB11" i="2"/>
  <c r="L11" i="2"/>
  <c r="M11" i="2" s="1"/>
  <c r="N9" i="2" s="1"/>
  <c r="O9" i="2" s="1"/>
  <c r="D11" i="2"/>
  <c r="E11" i="2" s="1"/>
  <c r="AC10" i="2"/>
  <c r="AB10" i="2"/>
  <c r="T10" i="2"/>
  <c r="U10" i="2" s="1"/>
  <c r="V9" i="2" s="1"/>
  <c r="W9" i="2" s="1"/>
  <c r="L10" i="2"/>
  <c r="M10" i="2" s="1"/>
  <c r="AQ9" i="2"/>
  <c r="AI9" i="2"/>
  <c r="AJ10" i="2" s="1"/>
  <c r="AK10" i="2" s="1"/>
  <c r="AC9" i="2"/>
  <c r="AD9" i="2" s="1"/>
  <c r="AE9" i="2" s="1"/>
  <c r="AB9" i="2"/>
  <c r="AA9" i="2"/>
  <c r="T9" i="2"/>
  <c r="U9" i="2" s="1"/>
  <c r="S9" i="2"/>
  <c r="T11" i="2" s="1"/>
  <c r="U11" i="2" s="1"/>
  <c r="K9" i="2"/>
  <c r="L9" i="2" s="1"/>
  <c r="M9" i="2" s="1"/>
  <c r="D9" i="2"/>
  <c r="E9" i="2" s="1"/>
  <c r="F9" i="2" s="1"/>
  <c r="G9" i="2" s="1"/>
  <c r="C9" i="2"/>
  <c r="D10" i="2" s="1"/>
  <c r="E10" i="2" s="1"/>
  <c r="AJ8" i="2"/>
  <c r="AK8" i="2" s="1"/>
  <c r="U8" i="2"/>
  <c r="M8" i="2"/>
  <c r="D8" i="2"/>
  <c r="E8" i="2" s="1"/>
  <c r="AS7" i="2"/>
  <c r="AR7" i="2"/>
  <c r="AJ7" i="2"/>
  <c r="AK7" i="2" s="1"/>
  <c r="U7" i="2"/>
  <c r="T7" i="2"/>
  <c r="L7" i="2"/>
  <c r="M7" i="2" s="1"/>
  <c r="D7" i="2"/>
  <c r="E7" i="2" s="1"/>
  <c r="AR6" i="2"/>
  <c r="AS6" i="2" s="1"/>
  <c r="AQ6" i="2"/>
  <c r="AR8" i="2" s="1"/>
  <c r="AS8" i="2" s="1"/>
  <c r="AJ6" i="2"/>
  <c r="AK6" i="2" s="1"/>
  <c r="AI6" i="2"/>
  <c r="AB6" i="2"/>
  <c r="AC6" i="2" s="1"/>
  <c r="AA6" i="2"/>
  <c r="AB7" i="2" s="1"/>
  <c r="AC7" i="2" s="1"/>
  <c r="T6" i="2"/>
  <c r="U6" i="2" s="1"/>
  <c r="V6" i="2" s="1"/>
  <c r="W6" i="2" s="1"/>
  <c r="S6" i="2"/>
  <c r="T8" i="2" s="1"/>
  <c r="M6" i="2"/>
  <c r="L6" i="2"/>
  <c r="K6" i="2"/>
  <c r="L8" i="2" s="1"/>
  <c r="C6" i="2"/>
  <c r="D6" i="2" s="1"/>
  <c r="E6" i="2" s="1"/>
  <c r="F6" i="2" s="1"/>
  <c r="G6" i="2" s="1"/>
  <c r="AR5" i="2"/>
  <c r="AS5" i="2" s="1"/>
  <c r="U5" i="2"/>
  <c r="T5" i="2"/>
  <c r="AS4" i="2"/>
  <c r="AR4" i="2"/>
  <c r="U4" i="2"/>
  <c r="L4" i="2"/>
  <c r="M4" i="2" s="1"/>
  <c r="D4" i="2"/>
  <c r="E4" i="2" s="1"/>
  <c r="AS3" i="2"/>
  <c r="AQ3" i="2"/>
  <c r="AR3" i="2" s="1"/>
  <c r="AI3" i="2"/>
  <c r="AJ5" i="2" s="1"/>
  <c r="AK5" i="2" s="1"/>
  <c r="AA3" i="2"/>
  <c r="T3" i="2"/>
  <c r="U3" i="2" s="1"/>
  <c r="V3" i="2" s="1"/>
  <c r="W3" i="2" s="1"/>
  <c r="S3" i="2"/>
  <c r="T4" i="2" s="1"/>
  <c r="M3" i="2"/>
  <c r="L3" i="2"/>
  <c r="K3" i="2"/>
  <c r="L5" i="2" s="1"/>
  <c r="M5" i="2" s="1"/>
  <c r="C3" i="2"/>
  <c r="D28" i="1"/>
  <c r="E28" i="1" s="1"/>
  <c r="C26" i="1"/>
  <c r="D25" i="1"/>
  <c r="E25" i="1" s="1"/>
  <c r="C23" i="1"/>
  <c r="D22" i="1"/>
  <c r="E22" i="1" s="1"/>
  <c r="E21" i="1"/>
  <c r="D21" i="1"/>
  <c r="D20" i="1"/>
  <c r="E20" i="1" s="1"/>
  <c r="F20" i="1" s="1"/>
  <c r="G20" i="1" s="1"/>
  <c r="C20" i="1"/>
  <c r="E17" i="1"/>
  <c r="C17" i="1"/>
  <c r="D17" i="1" s="1"/>
  <c r="E16" i="1"/>
  <c r="C14" i="1"/>
  <c r="D16" i="1" s="1"/>
  <c r="D13" i="1"/>
  <c r="E13" i="1" s="1"/>
  <c r="E12" i="1"/>
  <c r="E11" i="1"/>
  <c r="F11" i="1" s="1"/>
  <c r="G11" i="1" s="1"/>
  <c r="D11" i="1"/>
  <c r="C11" i="1"/>
  <c r="D12" i="1" s="1"/>
  <c r="C8" i="1"/>
  <c r="D8" i="1" s="1"/>
  <c r="E8" i="1" s="1"/>
  <c r="D5" i="1"/>
  <c r="E5" i="1" s="1"/>
  <c r="C5" i="1"/>
  <c r="D4" i="1"/>
  <c r="E4" i="1" s="1"/>
  <c r="D3" i="1"/>
  <c r="E3" i="1" s="1"/>
  <c r="E2" i="1"/>
  <c r="D2" i="1"/>
  <c r="C2" i="1"/>
  <c r="AT18" i="2" l="1"/>
  <c r="AU18" i="2" s="1"/>
  <c r="AL12" i="2"/>
  <c r="AM12" i="2" s="1"/>
  <c r="AL6" i="2"/>
  <c r="AM6" i="2" s="1"/>
  <c r="N24" i="2"/>
  <c r="O24" i="2" s="1"/>
  <c r="AB23" i="2"/>
  <c r="AC23" i="2" s="1"/>
  <c r="AB22" i="2"/>
  <c r="AC22" i="2" s="1"/>
  <c r="AB21" i="2"/>
  <c r="AC21" i="2" s="1"/>
  <c r="D8" i="4"/>
  <c r="E8" i="4" s="1"/>
  <c r="F8" i="4" s="1"/>
  <c r="G8" i="4" s="1"/>
  <c r="D10" i="4"/>
  <c r="E10" i="4" s="1"/>
  <c r="D9" i="4"/>
  <c r="E9" i="4" s="1"/>
  <c r="D5" i="2"/>
  <c r="E5" i="2" s="1"/>
  <c r="D3" i="2"/>
  <c r="E3" i="2" s="1"/>
  <c r="F3" i="2" s="1"/>
  <c r="G3" i="2" s="1"/>
  <c r="AT3" i="2"/>
  <c r="AU3" i="2" s="1"/>
  <c r="AT6" i="2"/>
  <c r="AU6" i="2" s="1"/>
  <c r="T12" i="2"/>
  <c r="U12" i="2" s="1"/>
  <c r="V12" i="2" s="1"/>
  <c r="W12" i="2" s="1"/>
  <c r="L5" i="3"/>
  <c r="M5" i="3" s="1"/>
  <c r="L3" i="3"/>
  <c r="M3" i="3" s="1"/>
  <c r="N21" i="3"/>
  <c r="O21" i="3" s="1"/>
  <c r="D7" i="1"/>
  <c r="E7" i="1" s="1"/>
  <c r="D6" i="1"/>
  <c r="E6" i="1" s="1"/>
  <c r="F5" i="1" s="1"/>
  <c r="G5" i="1" s="1"/>
  <c r="AR11" i="2"/>
  <c r="AS11" i="2" s="1"/>
  <c r="AR9" i="2"/>
  <c r="AS9" i="2" s="1"/>
  <c r="AR10" i="2"/>
  <c r="AS10" i="2" s="1"/>
  <c r="AT12" i="2"/>
  <c r="AU12" i="2" s="1"/>
  <c r="F18" i="2"/>
  <c r="G18" i="2" s="1"/>
  <c r="D25" i="2"/>
  <c r="E25" i="2" s="1"/>
  <c r="D24" i="2"/>
  <c r="E24" i="2" s="1"/>
  <c r="D26" i="2"/>
  <c r="E26" i="2" s="1"/>
  <c r="N9" i="3"/>
  <c r="O9" i="3" s="1"/>
  <c r="F23" i="4"/>
  <c r="G23" i="4" s="1"/>
  <c r="F8" i="6"/>
  <c r="G8" i="6" s="1"/>
  <c r="AB26" i="2"/>
  <c r="AC26" i="2" s="1"/>
  <c r="AB25" i="2"/>
  <c r="AC25" i="2" s="1"/>
  <c r="AB24" i="2"/>
  <c r="AC24" i="2" s="1"/>
  <c r="D9" i="1"/>
  <c r="E9" i="1" s="1"/>
  <c r="F8" i="1" s="1"/>
  <c r="G8" i="1" s="1"/>
  <c r="D10" i="1"/>
  <c r="E10" i="1" s="1"/>
  <c r="D26" i="1"/>
  <c r="E26" i="1" s="1"/>
  <c r="D27" i="1"/>
  <c r="E27" i="1" s="1"/>
  <c r="D14" i="1"/>
  <c r="E14" i="1" s="1"/>
  <c r="D18" i="1"/>
  <c r="E18" i="1" s="1"/>
  <c r="AJ3" i="2"/>
  <c r="AK3" i="2" s="1"/>
  <c r="AJ14" i="2"/>
  <c r="AK14" i="2" s="1"/>
  <c r="AJ13" i="2"/>
  <c r="AK13" i="2" s="1"/>
  <c r="T13" i="2"/>
  <c r="U13" i="2" s="1"/>
  <c r="L21" i="2"/>
  <c r="M21" i="2" s="1"/>
  <c r="N21" i="2" s="1"/>
  <c r="O21" i="2" s="1"/>
  <c r="AT21" i="2"/>
  <c r="AU21" i="2" s="1"/>
  <c r="AB4" i="2"/>
  <c r="AC4" i="2" s="1"/>
  <c r="AB3" i="2"/>
  <c r="AC3" i="2" s="1"/>
  <c r="L23" i="2"/>
  <c r="M23" i="2" s="1"/>
  <c r="AR25" i="2"/>
  <c r="AS25" i="2" s="1"/>
  <c r="AT24" i="2" s="1"/>
  <c r="AU24" i="2" s="1"/>
  <c r="AR26" i="2"/>
  <c r="AS26" i="2" s="1"/>
  <c r="F2" i="1"/>
  <c r="G2" i="1" s="1"/>
  <c r="AB5" i="2"/>
  <c r="AC5" i="2" s="1"/>
  <c r="N6" i="2"/>
  <c r="O6" i="2" s="1"/>
  <c r="AB17" i="2"/>
  <c r="AC17" i="2" s="1"/>
  <c r="AB16" i="2"/>
  <c r="AC16" i="2" s="1"/>
  <c r="AB15" i="2"/>
  <c r="AC15" i="2" s="1"/>
  <c r="D8" i="3"/>
  <c r="E8" i="3" s="1"/>
  <c r="D6" i="3"/>
  <c r="E6" i="3" s="1"/>
  <c r="D7" i="3"/>
  <c r="E7" i="3" s="1"/>
  <c r="F17" i="1"/>
  <c r="G17" i="1" s="1"/>
  <c r="AD6" i="2"/>
  <c r="AE6" i="2" s="1"/>
  <c r="L20" i="2"/>
  <c r="M20" i="2" s="1"/>
  <c r="L19" i="2"/>
  <c r="M19" i="2" s="1"/>
  <c r="L18" i="2"/>
  <c r="M18" i="2" s="1"/>
  <c r="T11" i="3"/>
  <c r="U11" i="3" s="1"/>
  <c r="T9" i="3"/>
  <c r="U9" i="3" s="1"/>
  <c r="T10" i="3"/>
  <c r="U10" i="3" s="1"/>
  <c r="T12" i="3"/>
  <c r="U12" i="3" s="1"/>
  <c r="V12" i="3" s="1"/>
  <c r="W12" i="3" s="1"/>
  <c r="T14" i="3"/>
  <c r="U14" i="3" s="1"/>
  <c r="L29" i="3"/>
  <c r="M29" i="3" s="1"/>
  <c r="L27" i="3"/>
  <c r="M27" i="3" s="1"/>
  <c r="L28" i="3"/>
  <c r="M28" i="3" s="1"/>
  <c r="D19" i="1"/>
  <c r="E19" i="1" s="1"/>
  <c r="N3" i="2"/>
  <c r="O3" i="2" s="1"/>
  <c r="D15" i="1"/>
  <c r="E15" i="1" s="1"/>
  <c r="D23" i="1"/>
  <c r="E23" i="1" s="1"/>
  <c r="F23" i="1" s="1"/>
  <c r="G23" i="1" s="1"/>
  <c r="D24" i="1"/>
  <c r="E24" i="1" s="1"/>
  <c r="AJ4" i="2"/>
  <c r="AK4" i="2" s="1"/>
  <c r="AB8" i="2"/>
  <c r="AC8" i="2" s="1"/>
  <c r="N12" i="2"/>
  <c r="O12" i="2" s="1"/>
  <c r="D27" i="2"/>
  <c r="E27" i="2" s="1"/>
  <c r="F27" i="2" s="1"/>
  <c r="G27" i="2" s="1"/>
  <c r="D28" i="5"/>
  <c r="E28" i="5" s="1"/>
  <c r="D27" i="5"/>
  <c r="E27" i="5" s="1"/>
  <c r="D26" i="5"/>
  <c r="E26" i="5" s="1"/>
  <c r="F26" i="5" s="1"/>
  <c r="G26" i="5" s="1"/>
  <c r="F2" i="4"/>
  <c r="G2" i="4" s="1"/>
  <c r="AR29" i="2"/>
  <c r="AS29" i="2" s="1"/>
  <c r="T20" i="3"/>
  <c r="U20" i="3" s="1"/>
  <c r="T19" i="3"/>
  <c r="U19" i="3" s="1"/>
  <c r="D27" i="4"/>
  <c r="E27" i="4" s="1"/>
  <c r="D28" i="4"/>
  <c r="E28" i="4" s="1"/>
  <c r="V15" i="2"/>
  <c r="W15" i="2" s="1"/>
  <c r="D21" i="2"/>
  <c r="E21" i="2" s="1"/>
  <c r="F21" i="2" s="1"/>
  <c r="G21" i="2" s="1"/>
  <c r="D22" i="2"/>
  <c r="E22" i="2" s="1"/>
  <c r="AB27" i="2"/>
  <c r="AC27" i="2" s="1"/>
  <c r="AD27" i="2" s="1"/>
  <c r="AE27" i="2" s="1"/>
  <c r="AR27" i="2"/>
  <c r="AS27" i="2" s="1"/>
  <c r="D4" i="3"/>
  <c r="E4" i="3" s="1"/>
  <c r="F3" i="3" s="1"/>
  <c r="G3" i="3" s="1"/>
  <c r="D5" i="3"/>
  <c r="E5" i="3" s="1"/>
  <c r="D13" i="3"/>
  <c r="E13" i="3" s="1"/>
  <c r="F12" i="3" s="1"/>
  <c r="G12" i="3" s="1"/>
  <c r="D14" i="3"/>
  <c r="E14" i="3" s="1"/>
  <c r="T18" i="3"/>
  <c r="U18" i="3" s="1"/>
  <c r="V18" i="3" s="1"/>
  <c r="W18" i="3" s="1"/>
  <c r="T29" i="3"/>
  <c r="U29" i="3" s="1"/>
  <c r="T27" i="3"/>
  <c r="U27" i="3" s="1"/>
  <c r="V27" i="3" s="1"/>
  <c r="W27" i="3" s="1"/>
  <c r="D26" i="4"/>
  <c r="E26" i="4" s="1"/>
  <c r="AB14" i="2"/>
  <c r="AC14" i="2" s="1"/>
  <c r="AB12" i="2"/>
  <c r="AC12" i="2" s="1"/>
  <c r="AB13" i="2"/>
  <c r="AC13" i="2" s="1"/>
  <c r="T20" i="2"/>
  <c r="U20" i="2" s="1"/>
  <c r="T18" i="2"/>
  <c r="U18" i="2" s="1"/>
  <c r="V18" i="2" s="1"/>
  <c r="W18" i="2" s="1"/>
  <c r="AL18" i="2"/>
  <c r="AM18" i="2" s="1"/>
  <c r="D24" i="3"/>
  <c r="E24" i="3" s="1"/>
  <c r="F24" i="3" s="1"/>
  <c r="G24" i="3" s="1"/>
  <c r="D26" i="3"/>
  <c r="E26" i="3" s="1"/>
  <c r="F20" i="6"/>
  <c r="G20" i="6" s="1"/>
  <c r="D24" i="5"/>
  <c r="E24" i="5" s="1"/>
  <c r="D25" i="5"/>
  <c r="E25" i="5" s="1"/>
  <c r="D9" i="3"/>
  <c r="E9" i="3" s="1"/>
  <c r="F9" i="3" s="1"/>
  <c r="G9" i="3" s="1"/>
  <c r="D11" i="3"/>
  <c r="E11" i="3" s="1"/>
  <c r="T16" i="3"/>
  <c r="U16" i="3" s="1"/>
  <c r="T15" i="3"/>
  <c r="U15" i="3" s="1"/>
  <c r="F18" i="3"/>
  <c r="G18" i="3" s="1"/>
  <c r="AJ9" i="2"/>
  <c r="AK9" i="2" s="1"/>
  <c r="AL9" i="2" s="1"/>
  <c r="AM9" i="2" s="1"/>
  <c r="T23" i="2"/>
  <c r="U23" i="2" s="1"/>
  <c r="T21" i="2"/>
  <c r="U21" i="2" s="1"/>
  <c r="V21" i="2" s="1"/>
  <c r="W21" i="2" s="1"/>
  <c r="V24" i="2"/>
  <c r="W24" i="2" s="1"/>
  <c r="V27" i="2"/>
  <c r="W27" i="2" s="1"/>
  <c r="D16" i="3"/>
  <c r="E16" i="3" s="1"/>
  <c r="F15" i="3" s="1"/>
  <c r="G15" i="3" s="1"/>
  <c r="D17" i="3"/>
  <c r="E17" i="3" s="1"/>
  <c r="D24" i="4"/>
  <c r="E24" i="4" s="1"/>
  <c r="D25" i="4"/>
  <c r="E25" i="4" s="1"/>
  <c r="D23" i="5"/>
  <c r="E23" i="5" s="1"/>
  <c r="T4" i="3"/>
  <c r="U4" i="3" s="1"/>
  <c r="V3" i="3" s="1"/>
  <c r="W3" i="3" s="1"/>
  <c r="T7" i="3"/>
  <c r="U7" i="3" s="1"/>
  <c r="V6" i="3" s="1"/>
  <c r="W6" i="3" s="1"/>
  <c r="D22" i="4"/>
  <c r="E22" i="4" s="1"/>
  <c r="D21" i="4"/>
  <c r="E21" i="4" s="1"/>
  <c r="AJ25" i="2"/>
  <c r="AK25" i="2" s="1"/>
  <c r="AL24" i="2" s="1"/>
  <c r="AM24" i="2" s="1"/>
  <c r="D21" i="3"/>
  <c r="E21" i="3" s="1"/>
  <c r="D5" i="4"/>
  <c r="E5" i="4" s="1"/>
  <c r="F5" i="4" s="1"/>
  <c r="G5" i="4" s="1"/>
  <c r="D20" i="4"/>
  <c r="E20" i="4" s="1"/>
  <c r="F20" i="4" s="1"/>
  <c r="G20" i="4" s="1"/>
  <c r="D20" i="5"/>
  <c r="E20" i="5" s="1"/>
  <c r="F20" i="5" s="1"/>
  <c r="G20" i="5" s="1"/>
  <c r="D25" i="6"/>
  <c r="E25" i="6" s="1"/>
  <c r="D24" i="6"/>
  <c r="E24" i="6" s="1"/>
  <c r="D23" i="6"/>
  <c r="E23" i="6" s="1"/>
  <c r="AJ21" i="2"/>
  <c r="AK21" i="2" s="1"/>
  <c r="AL21" i="2" s="1"/>
  <c r="AM21" i="2" s="1"/>
  <c r="L14" i="3"/>
  <c r="M14" i="3" s="1"/>
  <c r="N12" i="3" s="1"/>
  <c r="O12" i="3" s="1"/>
  <c r="L19" i="3"/>
  <c r="M19" i="3" s="1"/>
  <c r="N18" i="3" s="1"/>
  <c r="O18" i="3" s="1"/>
  <c r="L20" i="3"/>
  <c r="M20" i="3" s="1"/>
  <c r="T21" i="3"/>
  <c r="U21" i="3" s="1"/>
  <c r="V21" i="3" s="1"/>
  <c r="W21" i="3" s="1"/>
  <c r="D6" i="5"/>
  <c r="E6" i="5" s="1"/>
  <c r="F5" i="5" s="1"/>
  <c r="G5" i="5" s="1"/>
  <c r="D19" i="5"/>
  <c r="E19" i="5" s="1"/>
  <c r="D18" i="5"/>
  <c r="E18" i="5" s="1"/>
  <c r="F17" i="5" s="1"/>
  <c r="G17" i="5" s="1"/>
  <c r="L11" i="3"/>
  <c r="M11" i="3" s="1"/>
  <c r="D22" i="3"/>
  <c r="E22" i="3" s="1"/>
  <c r="F2" i="5"/>
  <c r="G2" i="5" s="1"/>
  <c r="D3" i="6"/>
  <c r="E3" i="6" s="1"/>
  <c r="F2" i="6" s="1"/>
  <c r="G2" i="6" s="1"/>
  <c r="D17" i="6"/>
  <c r="E17" i="6" s="1"/>
  <c r="F17" i="6" s="1"/>
  <c r="G17" i="6" s="1"/>
  <c r="D19" i="6"/>
  <c r="E19" i="6" s="1"/>
  <c r="D18" i="6"/>
  <c r="E18" i="6" s="1"/>
  <c r="D15" i="6"/>
  <c r="E15" i="6" s="1"/>
  <c r="F14" i="6" s="1"/>
  <c r="G14" i="6" s="1"/>
  <c r="D26" i="6"/>
  <c r="E26" i="6" s="1"/>
  <c r="F26" i="6" s="1"/>
  <c r="G26" i="6" s="1"/>
  <c r="D27" i="6"/>
  <c r="E27" i="6" s="1"/>
  <c r="F14" i="1" l="1"/>
  <c r="G14" i="1" s="1"/>
  <c r="N3" i="3"/>
  <c r="O3" i="3" s="1"/>
  <c r="F26" i="1"/>
  <c r="G26" i="1" s="1"/>
  <c r="F6" i="3"/>
  <c r="G6" i="3" s="1"/>
  <c r="F21" i="3"/>
  <c r="G21" i="3" s="1"/>
  <c r="AD12" i="2"/>
  <c r="AE12" i="2" s="1"/>
  <c r="F23" i="5"/>
  <c r="G23" i="5" s="1"/>
  <c r="N18" i="2"/>
  <c r="O18" i="2" s="1"/>
  <c r="AD15" i="2"/>
  <c r="AE15" i="2" s="1"/>
  <c r="AD24" i="2"/>
  <c r="AE24" i="2" s="1"/>
  <c r="F24" i="2"/>
  <c r="G24" i="2" s="1"/>
  <c r="AD21" i="2"/>
  <c r="AE21" i="2" s="1"/>
  <c r="AT9" i="2"/>
  <c r="AU9" i="2" s="1"/>
  <c r="V9" i="3"/>
  <c r="W9" i="3" s="1"/>
  <c r="F23" i="6"/>
  <c r="G23" i="6" s="1"/>
  <c r="V15" i="3"/>
  <c r="W15" i="3" s="1"/>
  <c r="F26" i="4"/>
  <c r="G26" i="4" s="1"/>
  <c r="AT27" i="2"/>
  <c r="AU27" i="2" s="1"/>
  <c r="N27" i="3"/>
  <c r="O27" i="3" s="1"/>
  <c r="AD3" i="2"/>
  <c r="AE3" i="2" s="1"/>
  <c r="AL3" i="2"/>
  <c r="AM3" i="2" s="1"/>
</calcChain>
</file>

<file path=xl/sharedStrings.xml><?xml version="1.0" encoding="utf-8"?>
<sst xmlns="http://schemas.openxmlformats.org/spreadsheetml/2006/main" count="115" uniqueCount="25">
  <si>
    <t>Treatment</t>
  </si>
  <si>
    <t>INPUT HERE!!!</t>
  </si>
  <si>
    <t>Mean</t>
  </si>
  <si>
    <t>(xi-Mean)</t>
  </si>
  <si>
    <t>(xi-Mean)^2</t>
  </si>
  <si>
    <t>SD</t>
  </si>
  <si>
    <t>%CV</t>
  </si>
  <si>
    <t>L</t>
  </si>
  <si>
    <t>a*</t>
  </si>
  <si>
    <t>b*</t>
  </si>
  <si>
    <t>C</t>
  </si>
  <si>
    <t>H</t>
  </si>
  <si>
    <t>Delta_E</t>
  </si>
  <si>
    <t>Staph</t>
  </si>
  <si>
    <t>e coli</t>
  </si>
  <si>
    <t>salmonella</t>
  </si>
  <si>
    <t>Sample</t>
  </si>
  <si>
    <t>WAC</t>
  </si>
  <si>
    <t>Color</t>
  </si>
  <si>
    <t>Aw</t>
  </si>
  <si>
    <t>%MC</t>
  </si>
  <si>
    <t>WSI</t>
  </si>
  <si>
    <t>pH</t>
  </si>
  <si>
    <t>TSS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</si>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</sst>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0_ "/>
  </numFmts>
  <fonts count="3" x14ac:knownFonts="1">
    <font>
      <sz val="11"/>
      <name val="Aptos Narrow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2" borderId="3" xfId="0" applyFont="1" applyFill="1" applyBorder="1" applyAlignment="1"/>
    <xf numFmtId="0" fontId="2" fillId="0" borderId="4" xfId="0" applyFont="1" applyBorder="1" applyAlignment="1"/>
    <xf numFmtId="0" fontId="2" fillId="0" borderId="6" xfId="0" applyFont="1" applyBorder="1" applyAlignment="1"/>
    <xf numFmtId="0" fontId="2" fillId="2" borderId="7" xfId="0" applyFont="1" applyFill="1" applyBorder="1" applyAlignment="1"/>
    <xf numFmtId="0" fontId="2" fillId="0" borderId="9" xfId="0" applyFont="1" applyBorder="1" applyAlignment="1"/>
    <xf numFmtId="0" fontId="2" fillId="2" borderId="10" xfId="0" applyFont="1" applyFill="1" applyBorder="1" applyAlignment="1"/>
    <xf numFmtId="0" fontId="2" fillId="0" borderId="11" xfId="0" applyFont="1" applyBorder="1" applyAlignment="1"/>
    <xf numFmtId="164" fontId="2" fillId="2" borderId="10" xfId="0" applyNumberFormat="1" applyFont="1" applyFill="1" applyBorder="1" applyAlignment="1"/>
    <xf numFmtId="0" fontId="2" fillId="2" borderId="13" xfId="0" applyFont="1" applyFill="1" applyBorder="1" applyAlignment="1"/>
    <xf numFmtId="0" fontId="1" fillId="2" borderId="17" xfId="0" applyFont="1" applyFill="1" applyBorder="1" applyAlignment="1">
      <alignment horizontal="center"/>
    </xf>
    <xf numFmtId="0" fontId="2" fillId="2" borderId="18" xfId="0" applyFont="1" applyFill="1" applyBorder="1" applyAlignment="1"/>
    <xf numFmtId="0" fontId="2" fillId="2" borderId="19" xfId="0" applyFont="1" applyFill="1" applyBorder="1" applyAlignment="1"/>
    <xf numFmtId="0" fontId="2" fillId="2" borderId="17" xfId="0" applyFont="1" applyFill="1" applyBorder="1" applyAlignment="1"/>
    <xf numFmtId="164" fontId="2" fillId="2" borderId="17" xfId="0" applyNumberFormat="1" applyFont="1" applyFill="1" applyBorder="1" applyAlignment="1"/>
    <xf numFmtId="164" fontId="2" fillId="2" borderId="19" xfId="0" applyNumberFormat="1" applyFont="1" applyFill="1" applyBorder="1" applyAlignment="1"/>
    <xf numFmtId="164" fontId="2" fillId="2" borderId="18" xfId="0" applyNumberFormat="1" applyFont="1" applyFill="1" applyBorder="1" applyAlignment="1"/>
    <xf numFmtId="164" fontId="2" fillId="2" borderId="7" xfId="0" applyNumberFormat="1" applyFont="1" applyFill="1" applyBorder="1" applyAlignment="1"/>
    <xf numFmtId="165" fontId="2" fillId="2" borderId="7" xfId="0" applyNumberFormat="1" applyFont="1" applyFill="1" applyBorder="1" applyAlignment="1"/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/>
    <xf numFmtId="0" fontId="2" fillId="0" borderId="7" xfId="0" applyFont="1" applyBorder="1" applyAlignment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5" zoomScale="91" workbookViewId="0">
      <selection activeCell="B29" sqref="B29"/>
    </sheetView>
  </sheetViews>
  <sheetFormatPr baseColWidth="10" defaultColWidth="9" defaultRowHeight="15" x14ac:dyDescent="0.2"/>
  <cols>
    <col min="2" max="2" width="18" customWidth="1"/>
    <col min="4" max="4" width="11.5" customWidth="1"/>
    <col min="5" max="5" width="13.1640625" customWidth="1"/>
  </cols>
  <sheetData>
    <row r="1" spans="1:7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v>1</v>
      </c>
      <c r="B2" s="3">
        <v>285.06</v>
      </c>
      <c r="C2" s="24">
        <f>(SUM(B2:B4)/3)</f>
        <v>296.39333333333337</v>
      </c>
      <c r="D2" s="4">
        <f>(B2-C2)</f>
        <v>-11.333333333333371</v>
      </c>
      <c r="E2" s="4">
        <f>(D2*D2)</f>
        <v>128.44444444444531</v>
      </c>
      <c r="F2" s="24">
        <f>(SQRT(SUM(E2:E4)/2))</f>
        <v>11.255817754980455</v>
      </c>
      <c r="G2" s="27">
        <f>((F2/C2)*100)</f>
        <v>3.7975947800154479</v>
      </c>
    </row>
    <row r="3" spans="1:7" x14ac:dyDescent="0.2">
      <c r="A3" s="5"/>
      <c r="B3" s="6">
        <v>296.55</v>
      </c>
      <c r="C3" s="25"/>
      <c r="D3">
        <f>(B3-C2)</f>
        <v>0.15666666666663787</v>
      </c>
      <c r="E3">
        <f t="shared" ref="E3:E28" si="0">(D3*D3)</f>
        <v>2.4544444444435421E-2</v>
      </c>
      <c r="F3" s="25"/>
      <c r="G3" s="28"/>
    </row>
    <row r="4" spans="1:7" x14ac:dyDescent="0.2">
      <c r="A4" s="7"/>
      <c r="B4" s="8">
        <v>307.57</v>
      </c>
      <c r="C4" s="26"/>
      <c r="D4" s="9">
        <f>(B4-C2)</f>
        <v>11.17666666666662</v>
      </c>
      <c r="E4" s="9">
        <f t="shared" si="0"/>
        <v>124.91787777777672</v>
      </c>
      <c r="F4" s="26"/>
      <c r="G4" s="29"/>
    </row>
    <row r="5" spans="1:7" x14ac:dyDescent="0.2">
      <c r="A5" s="2">
        <v>2</v>
      </c>
      <c r="B5" s="3">
        <v>330.67</v>
      </c>
      <c r="C5" s="24">
        <f>(SUM(B5:B7)/3)</f>
        <v>301.90333333333336</v>
      </c>
      <c r="D5" s="4">
        <f>(B5-C$5)</f>
        <v>28.766666666666652</v>
      </c>
      <c r="E5" s="4">
        <f t="shared" si="0"/>
        <v>827.52111111111026</v>
      </c>
      <c r="F5" s="24">
        <f t="shared" ref="F5" si="1">(SQRT(SUM(E5:E7)/2))</f>
        <v>28.421527638980535</v>
      </c>
      <c r="G5" s="27">
        <f t="shared" ref="G5" si="2">((F5/C5)*100)</f>
        <v>9.4141152153494598</v>
      </c>
    </row>
    <row r="6" spans="1:7" x14ac:dyDescent="0.2">
      <c r="A6" s="5"/>
      <c r="B6" s="6">
        <v>273.83999999999997</v>
      </c>
      <c r="C6" s="25"/>
      <c r="D6">
        <f t="shared" ref="D6:D7" si="3">(B6-C$5)</f>
        <v>-28.063333333333389</v>
      </c>
      <c r="E6">
        <f t="shared" si="0"/>
        <v>787.55067777778095</v>
      </c>
      <c r="F6" s="25"/>
      <c r="G6" s="28"/>
    </row>
    <row r="7" spans="1:7" x14ac:dyDescent="0.2">
      <c r="A7" s="7"/>
      <c r="B7" s="10">
        <v>301.2</v>
      </c>
      <c r="C7" s="26"/>
      <c r="D7" s="9">
        <f t="shared" si="3"/>
        <v>-0.70333333333337578</v>
      </c>
      <c r="E7" s="9">
        <f t="shared" si="0"/>
        <v>0.4946777777778375</v>
      </c>
      <c r="F7" s="26"/>
      <c r="G7" s="29"/>
    </row>
    <row r="8" spans="1:7" x14ac:dyDescent="0.2">
      <c r="A8" s="2">
        <v>3</v>
      </c>
      <c r="B8" s="3">
        <v>328.73</v>
      </c>
      <c r="C8" s="24">
        <f t="shared" ref="C8" si="4">(SUM(B8:B10)/3)</f>
        <v>333.22333333333336</v>
      </c>
      <c r="D8" s="4">
        <f>(B8-C$8)</f>
        <v>-4.4933333333333394</v>
      </c>
      <c r="E8" s="4">
        <f t="shared" si="0"/>
        <v>20.190044444444499</v>
      </c>
      <c r="F8" s="24">
        <f t="shared" ref="F8" si="5">(SQRT(SUM(E8:E10)/2))</f>
        <v>10.007543821204743</v>
      </c>
      <c r="G8" s="27">
        <f t="shared" ref="G8" si="6">((F8/C8)*100)</f>
        <v>3.0032542202541066</v>
      </c>
    </row>
    <row r="9" spans="1:7" x14ac:dyDescent="0.2">
      <c r="A9" s="5"/>
      <c r="B9" s="6">
        <v>344.69</v>
      </c>
      <c r="C9" s="25"/>
      <c r="D9">
        <f t="shared" ref="D9:D10" si="7">(B9-C$8)</f>
        <v>11.46666666666664</v>
      </c>
      <c r="E9">
        <f t="shared" si="0"/>
        <v>131.48444444444382</v>
      </c>
      <c r="F9" s="25"/>
      <c r="G9" s="28"/>
    </row>
    <row r="10" spans="1:7" x14ac:dyDescent="0.2">
      <c r="A10" s="7"/>
      <c r="B10" s="8">
        <v>326.25</v>
      </c>
      <c r="C10" s="26"/>
      <c r="D10" s="9">
        <f t="shared" si="7"/>
        <v>-6.9733333333333576</v>
      </c>
      <c r="E10" s="9">
        <f t="shared" si="0"/>
        <v>48.627377777778115</v>
      </c>
      <c r="F10" s="26"/>
      <c r="G10" s="29"/>
    </row>
    <row r="11" spans="1:7" x14ac:dyDescent="0.2">
      <c r="A11" s="2">
        <v>4</v>
      </c>
      <c r="B11" s="3">
        <v>347.16</v>
      </c>
      <c r="C11" s="24">
        <f t="shared" ref="C11" si="8">(SUM(B11:B13)/3)</f>
        <v>341.20666666666671</v>
      </c>
      <c r="D11" s="4">
        <f>(B11-C$11)</f>
        <v>5.9533333333333189</v>
      </c>
      <c r="E11" s="4">
        <f t="shared" si="0"/>
        <v>35.442177777777609</v>
      </c>
      <c r="F11" s="24">
        <f t="shared" ref="F11" si="9">(SQRT(SUM(E11:E13)/2))</f>
        <v>5.3695095989609118</v>
      </c>
      <c r="G11" s="27">
        <f t="shared" ref="G11" si="10">((F11/C11)*100)</f>
        <v>1.573682499060465</v>
      </c>
    </row>
    <row r="12" spans="1:7" x14ac:dyDescent="0.2">
      <c r="A12" s="5"/>
      <c r="B12" s="6">
        <v>339.73</v>
      </c>
      <c r="C12" s="25"/>
      <c r="D12">
        <f t="shared" ref="D12:D13" si="11">(B12-C$11)</f>
        <v>-1.4766666666666879</v>
      </c>
      <c r="E12">
        <f t="shared" si="0"/>
        <v>2.1805444444445072</v>
      </c>
      <c r="F12" s="25"/>
      <c r="G12" s="28"/>
    </row>
    <row r="13" spans="1:7" x14ac:dyDescent="0.2">
      <c r="A13" s="7"/>
      <c r="B13" s="8">
        <v>336.73</v>
      </c>
      <c r="C13" s="26"/>
      <c r="D13" s="9">
        <f t="shared" si="11"/>
        <v>-4.4766666666666879</v>
      </c>
      <c r="E13" s="9">
        <f t="shared" si="0"/>
        <v>20.040544444444635</v>
      </c>
      <c r="F13" s="26"/>
      <c r="G13" s="29"/>
    </row>
    <row r="14" spans="1:7" x14ac:dyDescent="0.2">
      <c r="A14" s="2">
        <v>5</v>
      </c>
      <c r="B14" s="3">
        <v>360.62</v>
      </c>
      <c r="C14" s="24">
        <f t="shared" ref="C14" si="12">(SUM(B14:B16)/3)</f>
        <v>364.27</v>
      </c>
      <c r="D14" s="4">
        <f>(B14-C$14)</f>
        <v>-3.6499999999999773</v>
      </c>
      <c r="E14" s="4">
        <f t="shared" si="0"/>
        <v>13.322499999999835</v>
      </c>
      <c r="F14" s="24">
        <f t="shared" ref="F14" si="13">(SQRT(SUM(E14:E16)/2))</f>
        <v>5.1414881114323121</v>
      </c>
      <c r="G14" s="27">
        <f t="shared" ref="G14" si="14">((F14/C14)*100)</f>
        <v>1.4114497794032757</v>
      </c>
    </row>
    <row r="15" spans="1:7" x14ac:dyDescent="0.2">
      <c r="A15" s="5"/>
      <c r="B15" s="6">
        <v>362.04</v>
      </c>
      <c r="C15" s="25"/>
      <c r="D15">
        <f t="shared" ref="D15:D16" si="15">(B15-C$14)</f>
        <v>-2.2299999999999613</v>
      </c>
      <c r="E15">
        <f t="shared" si="0"/>
        <v>4.9728999999998278</v>
      </c>
      <c r="F15" s="25"/>
      <c r="G15" s="28"/>
    </row>
    <row r="16" spans="1:7" x14ac:dyDescent="0.2">
      <c r="A16" s="7"/>
      <c r="B16" s="8">
        <v>370.15</v>
      </c>
      <c r="C16" s="26"/>
      <c r="D16" s="9">
        <f t="shared" si="15"/>
        <v>5.8799999999999955</v>
      </c>
      <c r="E16" s="9">
        <f t="shared" si="0"/>
        <v>34.574399999999947</v>
      </c>
      <c r="F16" s="26"/>
      <c r="G16" s="29"/>
    </row>
    <row r="17" spans="1:7" x14ac:dyDescent="0.2">
      <c r="A17" s="2">
        <v>6</v>
      </c>
      <c r="B17" s="3">
        <v>293.91000000000003</v>
      </c>
      <c r="C17" s="24">
        <f t="shared" ref="C17" si="16">(SUM(B17:B19)/3)</f>
        <v>304.82666666666671</v>
      </c>
      <c r="D17" s="4">
        <f>(B17-C$17)</f>
        <v>-10.916666666666686</v>
      </c>
      <c r="E17" s="4">
        <f t="shared" si="0"/>
        <v>119.17361111111153</v>
      </c>
      <c r="F17" s="24">
        <f t="shared" ref="F17" si="17">(SQRT(SUM(E17:E19)/2))</f>
        <v>10.058798801712525</v>
      </c>
      <c r="G17" s="27">
        <f t="shared" ref="G17" si="18">((F17/C17)*100)</f>
        <v>3.2998421403570961</v>
      </c>
    </row>
    <row r="18" spans="1:7" x14ac:dyDescent="0.2">
      <c r="A18" s="5"/>
      <c r="B18" s="6">
        <v>313.72000000000003</v>
      </c>
      <c r="C18" s="25"/>
      <c r="D18">
        <f t="shared" ref="D18:D19" si="19">(B18-C$17)</f>
        <v>8.8933333333333167</v>
      </c>
      <c r="E18">
        <f t="shared" si="0"/>
        <v>79.091377777777481</v>
      </c>
      <c r="F18" s="25"/>
      <c r="G18" s="28"/>
    </row>
    <row r="19" spans="1:7" x14ac:dyDescent="0.2">
      <c r="A19" s="7"/>
      <c r="B19" s="8">
        <v>306.85000000000002</v>
      </c>
      <c r="C19" s="26"/>
      <c r="D19" s="9">
        <f t="shared" si="19"/>
        <v>2.0233333333333121</v>
      </c>
      <c r="E19" s="9">
        <f t="shared" si="0"/>
        <v>4.093877777777692</v>
      </c>
      <c r="F19" s="26"/>
      <c r="G19" s="29"/>
    </row>
    <row r="20" spans="1:7" x14ac:dyDescent="0.2">
      <c r="A20" s="2">
        <v>7</v>
      </c>
      <c r="B20" s="3">
        <v>297.45999999999998</v>
      </c>
      <c r="C20" s="24">
        <f t="shared" ref="C20" si="20">(SUM(B20:B22)/3)</f>
        <v>301.20333333333332</v>
      </c>
      <c r="D20" s="4">
        <f>(B20-C$20)</f>
        <v>-3.7433333333333394</v>
      </c>
      <c r="E20" s="4">
        <f t="shared" si="0"/>
        <v>14.01254444444449</v>
      </c>
      <c r="F20" s="24">
        <f t="shared" ref="F20" si="21">(SQRT(SUM(E20:E22)/2))</f>
        <v>9.7591717544745098</v>
      </c>
      <c r="G20" s="27">
        <f t="shared" ref="G20" si="22">((F20/C20)*100)</f>
        <v>3.2400610067865045</v>
      </c>
    </row>
    <row r="21" spans="1:7" x14ac:dyDescent="0.2">
      <c r="A21" s="5"/>
      <c r="B21" s="6">
        <v>293.87</v>
      </c>
      <c r="C21" s="25"/>
      <c r="D21">
        <f t="shared" ref="D21:D22" si="23">(B21-C$20)</f>
        <v>-7.3333333333333144</v>
      </c>
      <c r="E21">
        <f t="shared" si="0"/>
        <v>53.777777777777501</v>
      </c>
      <c r="F21" s="25"/>
      <c r="G21" s="28"/>
    </row>
    <row r="22" spans="1:7" x14ac:dyDescent="0.2">
      <c r="A22" s="7"/>
      <c r="B22" s="8">
        <v>312.27999999999997</v>
      </c>
      <c r="C22" s="26"/>
      <c r="D22" s="9">
        <f t="shared" si="23"/>
        <v>11.076666666666654</v>
      </c>
      <c r="E22" s="9">
        <f t="shared" si="0"/>
        <v>122.69254444444415</v>
      </c>
      <c r="F22" s="26"/>
      <c r="G22" s="29"/>
    </row>
    <row r="23" spans="1:7" x14ac:dyDescent="0.2">
      <c r="A23" s="2">
        <v>8</v>
      </c>
      <c r="B23" s="3">
        <v>287.77999999999997</v>
      </c>
      <c r="C23" s="24">
        <f t="shared" ref="C23" si="24">(SUM(B23:B25)/3)</f>
        <v>291.79333333333329</v>
      </c>
      <c r="D23" s="4">
        <f>(B23-C$23)</f>
        <v>-4.0133333333333212</v>
      </c>
      <c r="E23" s="4">
        <f t="shared" si="0"/>
        <v>16.106844444444349</v>
      </c>
      <c r="F23" s="24">
        <f t="shared" ref="F23" si="25">(SQRT(SUM(E23:E25)/2))</f>
        <v>3.59280299116628</v>
      </c>
      <c r="G23" s="27">
        <f t="shared" ref="G23" si="26">((F23/C23)*100)</f>
        <v>1.2312834395918162</v>
      </c>
    </row>
    <row r="24" spans="1:7" x14ac:dyDescent="0.2">
      <c r="A24" s="5"/>
      <c r="B24" s="6">
        <v>292.89</v>
      </c>
      <c r="C24" s="25"/>
      <c r="D24">
        <f t="shared" ref="D24:D25" si="27">(B24-C$23)</f>
        <v>1.0966666666666924</v>
      </c>
      <c r="E24">
        <f t="shared" si="0"/>
        <v>1.2026777777778344</v>
      </c>
      <c r="F24" s="25"/>
      <c r="G24" s="28"/>
    </row>
    <row r="25" spans="1:7" x14ac:dyDescent="0.2">
      <c r="A25" s="7"/>
      <c r="B25" s="8">
        <v>294.70999999999998</v>
      </c>
      <c r="C25" s="26"/>
      <c r="D25" s="9">
        <f t="shared" si="27"/>
        <v>2.9166666666666856</v>
      </c>
      <c r="E25" s="9">
        <f t="shared" si="0"/>
        <v>8.5069444444445548</v>
      </c>
      <c r="F25" s="26"/>
      <c r="G25" s="29"/>
    </row>
    <row r="26" spans="1:7" x14ac:dyDescent="0.2">
      <c r="A26" s="5">
        <v>9</v>
      </c>
      <c r="B26" s="11">
        <v>247.09</v>
      </c>
      <c r="C26" s="25">
        <f t="shared" ref="C26" si="28">(SUM(B26:B28)/3)</f>
        <v>281.96333333333337</v>
      </c>
      <c r="D26">
        <f>(B26-C$26)</f>
        <v>-34.873333333333363</v>
      </c>
      <c r="E26">
        <f t="shared" si="0"/>
        <v>1216.1493777777798</v>
      </c>
      <c r="F26" s="25">
        <f t="shared" ref="F26" si="29">(SQRT(SUM(E26:E28)/2))</f>
        <v>30.223079481305895</v>
      </c>
      <c r="G26" s="28">
        <f t="shared" ref="G26" si="30">((F26/C26)*100)</f>
        <v>10.718797768494447</v>
      </c>
    </row>
    <row r="27" spans="1:7" x14ac:dyDescent="0.2">
      <c r="A27" s="5"/>
      <c r="B27" s="6">
        <v>298.25</v>
      </c>
      <c r="C27" s="25"/>
      <c r="D27">
        <f t="shared" ref="D27:D28" si="31">(B27-C$26)</f>
        <v>16.286666666666633</v>
      </c>
      <c r="E27">
        <f t="shared" si="0"/>
        <v>265.25551111111002</v>
      </c>
      <c r="F27" s="25"/>
      <c r="G27" s="28"/>
    </row>
    <row r="28" spans="1:7" x14ac:dyDescent="0.2">
      <c r="A28" s="7"/>
      <c r="B28" s="6">
        <v>300.55</v>
      </c>
      <c r="C28" s="26"/>
      <c r="D28" s="9">
        <f t="shared" si="31"/>
        <v>18.586666666666645</v>
      </c>
      <c r="E28" s="9">
        <f t="shared" si="0"/>
        <v>345.46417777777697</v>
      </c>
      <c r="F28" s="26"/>
      <c r="G28" s="29"/>
    </row>
    <row r="29" spans="1:7" x14ac:dyDescent="0.2">
      <c r="A29">
        <v>0</v>
      </c>
      <c r="B29">
        <v>360.62</v>
      </c>
    </row>
    <row r="30" spans="1:7" x14ac:dyDescent="0.2">
      <c r="A30">
        <v>0</v>
      </c>
      <c r="B30">
        <v>362.04</v>
      </c>
    </row>
    <row r="31" spans="1:7" x14ac:dyDescent="0.2">
      <c r="A31">
        <v>0</v>
      </c>
      <c r="B31">
        <v>370.15</v>
      </c>
    </row>
  </sheetData>
  <mergeCells count="27">
    <mergeCell ref="G20:G22"/>
    <mergeCell ref="G14:G16"/>
    <mergeCell ref="G11:G13"/>
    <mergeCell ref="G8:G10"/>
    <mergeCell ref="F11:F13"/>
    <mergeCell ref="G17:G19"/>
    <mergeCell ref="G5:G7"/>
    <mergeCell ref="F2:F4"/>
    <mergeCell ref="G23:G25"/>
    <mergeCell ref="C26:C28"/>
    <mergeCell ref="C5:C7"/>
    <mergeCell ref="C20:C22"/>
    <mergeCell ref="C14:C16"/>
    <mergeCell ref="C8:C10"/>
    <mergeCell ref="F26:F28"/>
    <mergeCell ref="F5:F7"/>
    <mergeCell ref="F20:F22"/>
    <mergeCell ref="F14:F16"/>
    <mergeCell ref="F8:F10"/>
    <mergeCell ref="G26:G28"/>
    <mergeCell ref="G2:G4"/>
    <mergeCell ref="F17:F19"/>
    <mergeCell ref="C2:C4"/>
    <mergeCell ref="C23:C25"/>
    <mergeCell ref="C17:C19"/>
    <mergeCell ref="C11:C13"/>
    <mergeCell ref="F23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2"/>
  <sheetViews>
    <sheetView topLeftCell="F12" zoomScale="72" workbookViewId="0">
      <selection activeCell="L32" sqref="L32"/>
    </sheetView>
  </sheetViews>
  <sheetFormatPr baseColWidth="10" defaultColWidth="9" defaultRowHeight="15" x14ac:dyDescent="0.2"/>
  <cols>
    <col min="2" max="2" width="13.1640625" customWidth="1"/>
    <col min="4" max="4" width="11.5" customWidth="1"/>
    <col min="5" max="5" width="13.1640625" customWidth="1"/>
    <col min="10" max="10" width="13.1640625" customWidth="1"/>
    <col min="18" max="18" width="13.1640625" customWidth="1"/>
    <col min="26" max="26" width="13.1640625" customWidth="1"/>
    <col min="34" max="34" width="13.1640625" customWidth="1"/>
    <col min="42" max="42" width="18" customWidth="1"/>
  </cols>
  <sheetData>
    <row r="1" spans="1:47" x14ac:dyDescent="0.2">
      <c r="A1" s="30" t="s">
        <v>7</v>
      </c>
      <c r="B1" s="31"/>
      <c r="C1" s="32"/>
      <c r="D1" s="32"/>
      <c r="E1" s="32"/>
      <c r="F1" s="32"/>
      <c r="G1" s="33"/>
      <c r="I1" s="30" t="s">
        <v>8</v>
      </c>
      <c r="J1" s="32"/>
      <c r="K1" s="32"/>
      <c r="L1" s="32"/>
      <c r="M1" s="32"/>
      <c r="N1" s="32"/>
      <c r="O1" s="33"/>
      <c r="Q1" s="30" t="s">
        <v>9</v>
      </c>
      <c r="R1" s="32"/>
      <c r="S1" s="32"/>
      <c r="T1" s="32"/>
      <c r="U1" s="32"/>
      <c r="V1" s="32"/>
      <c r="W1" s="33"/>
      <c r="Y1" s="30" t="s">
        <v>10</v>
      </c>
      <c r="Z1" s="32"/>
      <c r="AA1" s="32"/>
      <c r="AB1" s="32"/>
      <c r="AC1" s="32"/>
      <c r="AD1" s="32"/>
      <c r="AE1" s="33"/>
      <c r="AG1" s="30" t="s">
        <v>11</v>
      </c>
      <c r="AH1" s="32"/>
      <c r="AI1" s="32"/>
      <c r="AJ1" s="32"/>
      <c r="AK1" s="32"/>
      <c r="AL1" s="32"/>
      <c r="AM1" s="33"/>
      <c r="AO1" s="30" t="s">
        <v>12</v>
      </c>
      <c r="AP1" s="32"/>
      <c r="AQ1" s="32"/>
      <c r="AR1" s="32"/>
      <c r="AS1" s="32"/>
      <c r="AT1" s="32"/>
      <c r="AU1" s="33"/>
    </row>
    <row r="2" spans="1:47" x14ac:dyDescent="0.2">
      <c r="A2" t="s">
        <v>0</v>
      </c>
      <c r="B2" s="1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0</v>
      </c>
      <c r="J2" s="1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Q2" t="s">
        <v>0</v>
      </c>
      <c r="R2" s="12" t="s">
        <v>1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Y2" t="s">
        <v>0</v>
      </c>
      <c r="Z2" s="12" t="s">
        <v>1</v>
      </c>
      <c r="AA2" t="s">
        <v>2</v>
      </c>
      <c r="AB2" t="s">
        <v>3</v>
      </c>
      <c r="AC2" t="s">
        <v>4</v>
      </c>
      <c r="AD2" t="s">
        <v>5</v>
      </c>
      <c r="AE2" t="s">
        <v>6</v>
      </c>
      <c r="AG2" t="s">
        <v>0</v>
      </c>
      <c r="AH2" s="12" t="s">
        <v>1</v>
      </c>
      <c r="AI2" t="s">
        <v>2</v>
      </c>
      <c r="AJ2" t="s">
        <v>3</v>
      </c>
      <c r="AK2" t="s">
        <v>4</v>
      </c>
      <c r="AL2" t="s">
        <v>5</v>
      </c>
      <c r="AM2" t="s">
        <v>6</v>
      </c>
      <c r="AO2" t="s">
        <v>0</v>
      </c>
      <c r="AP2" s="12" t="s">
        <v>1</v>
      </c>
      <c r="AQ2" t="s">
        <v>2</v>
      </c>
      <c r="AR2" t="s">
        <v>3</v>
      </c>
      <c r="AS2" t="s">
        <v>4</v>
      </c>
      <c r="AT2" t="s">
        <v>5</v>
      </c>
      <c r="AU2" t="s">
        <v>6</v>
      </c>
    </row>
    <row r="3" spans="1:47" x14ac:dyDescent="0.2">
      <c r="A3" s="2">
        <v>1</v>
      </c>
      <c r="B3" s="13">
        <v>62.48</v>
      </c>
      <c r="C3" s="24">
        <f>(SUM(B3:B5)/3)</f>
        <v>62.083333333333336</v>
      </c>
      <c r="D3" s="4">
        <f>(B3-C3)</f>
        <v>0.39666666666666117</v>
      </c>
      <c r="E3" s="4">
        <f>(D3*D3)</f>
        <v>0.1573444444444401</v>
      </c>
      <c r="F3" s="24">
        <f>(SQRT(SUM(E3:E5)/2))</f>
        <v>0.41064989143226804</v>
      </c>
      <c r="G3" s="27">
        <f>((F3/C3)*100)</f>
        <v>0.66144948955533112</v>
      </c>
      <c r="I3" s="2">
        <v>1</v>
      </c>
      <c r="J3" s="13">
        <v>3.69</v>
      </c>
      <c r="K3" s="24">
        <f>(SUM(J3:J5)/3)</f>
        <v>3.7833333333333332</v>
      </c>
      <c r="L3" s="4">
        <f>(J3-K3)</f>
        <v>-9.3333333333333268E-2</v>
      </c>
      <c r="M3" s="4">
        <f>(L3*L3)</f>
        <v>8.7111111111110983E-3</v>
      </c>
      <c r="N3" s="24">
        <f>(SQRT(SUM(M3:M5)/2))</f>
        <v>8.6216781042517038E-2</v>
      </c>
      <c r="O3" s="27">
        <f>((N3/K3)*100)</f>
        <v>2.2788576487008911</v>
      </c>
      <c r="Q3" s="2">
        <v>1</v>
      </c>
      <c r="R3" s="13">
        <v>17.21</v>
      </c>
      <c r="S3" s="24">
        <f>(SUM(R3:R5)/3)</f>
        <v>17.326666666666668</v>
      </c>
      <c r="T3" s="4">
        <f>(R3-S3)</f>
        <v>-0.11666666666666714</v>
      </c>
      <c r="U3" s="4">
        <f>(T3*T3)</f>
        <v>1.3611111111111221E-2</v>
      </c>
      <c r="V3" s="24">
        <f>(SQRT(SUM(U3:U5)/2))</f>
        <v>0.14571661996262789</v>
      </c>
      <c r="W3" s="27">
        <f>((V3/S3)*100)</f>
        <v>0.84099626757961443</v>
      </c>
      <c r="Y3" s="2">
        <v>1</v>
      </c>
      <c r="Z3" s="13"/>
      <c r="AA3" s="24">
        <f>(SUM(Z3:Z5)/3)</f>
        <v>0</v>
      </c>
      <c r="AB3" s="4">
        <f>(Z3-AA3)</f>
        <v>0</v>
      </c>
      <c r="AC3" s="4">
        <f>(AB3*AB3)</f>
        <v>0</v>
      </c>
      <c r="AD3" s="24">
        <f>(SQRT(SUM(AC3:AC5)/2))</f>
        <v>0</v>
      </c>
      <c r="AE3" s="27" t="e">
        <f>((AD3/AA3)*100)</f>
        <v>#DIV/0!</v>
      </c>
      <c r="AG3" s="2">
        <v>1</v>
      </c>
      <c r="AH3" s="13"/>
      <c r="AI3" s="24">
        <f>(SUM(AH3:AH5)/3)</f>
        <v>0</v>
      </c>
      <c r="AJ3" s="4">
        <f>(AH3-AI3)</f>
        <v>0</v>
      </c>
      <c r="AK3" s="4">
        <f>(AJ3*AJ3)</f>
        <v>0</v>
      </c>
      <c r="AL3" s="24">
        <f>(SQRT(SUM(AK3:AK5)/2))</f>
        <v>0</v>
      </c>
      <c r="AM3" s="27" t="e">
        <f>((AL3/AI3)*100)</f>
        <v>#DIV/0!</v>
      </c>
      <c r="AO3" s="2">
        <v>1</v>
      </c>
      <c r="AP3" s="13"/>
      <c r="AQ3" s="24">
        <f>(SUM(AP3:AP5)/3)</f>
        <v>0</v>
      </c>
      <c r="AR3" s="4">
        <f>(AP3-AQ3)</f>
        <v>0</v>
      </c>
      <c r="AS3" s="4">
        <f>(AR3*AR3)</f>
        <v>0</v>
      </c>
      <c r="AT3" s="24">
        <f>(SQRT(SUM(AS3:AS5)/2))</f>
        <v>0</v>
      </c>
      <c r="AU3" s="27" t="e">
        <f>((AT3/AQ3)*100)</f>
        <v>#DIV/0!</v>
      </c>
    </row>
    <row r="4" spans="1:47" x14ac:dyDescent="0.2">
      <c r="A4" s="5"/>
      <c r="B4" s="13">
        <v>62.11</v>
      </c>
      <c r="C4" s="25"/>
      <c r="D4">
        <f>(B4-C3)</f>
        <v>2.666666666666373E-2</v>
      </c>
      <c r="E4">
        <f t="shared" ref="E4:E29" si="0">(D4*D4)</f>
        <v>7.1111111111095448E-4</v>
      </c>
      <c r="F4" s="25"/>
      <c r="G4" s="28"/>
      <c r="I4" s="5"/>
      <c r="J4" s="13">
        <v>3.8</v>
      </c>
      <c r="K4" s="25"/>
      <c r="L4">
        <f>(J4-K3)</f>
        <v>1.6666666666666607E-2</v>
      </c>
      <c r="M4">
        <f t="shared" ref="M4:M29" si="1">(L4*L4)</f>
        <v>2.7777777777777583E-4</v>
      </c>
      <c r="N4" s="25"/>
      <c r="O4" s="28"/>
      <c r="Q4" s="5"/>
      <c r="R4" s="13">
        <v>17.489999999999998</v>
      </c>
      <c r="S4" s="25"/>
      <c r="T4">
        <f>(R4-S3)</f>
        <v>0.16333333333333044</v>
      </c>
      <c r="U4">
        <f t="shared" ref="U4:U29" si="2">(T4*T4)</f>
        <v>2.6677777777776832E-2</v>
      </c>
      <c r="V4" s="25"/>
      <c r="W4" s="28"/>
      <c r="Y4" s="5"/>
      <c r="Z4" s="13"/>
      <c r="AA4" s="25"/>
      <c r="AB4">
        <f>(Z4-AA3)</f>
        <v>0</v>
      </c>
      <c r="AC4">
        <f t="shared" ref="AC4:AC29" si="3">(AB4*AB4)</f>
        <v>0</v>
      </c>
      <c r="AD4" s="25"/>
      <c r="AE4" s="28"/>
      <c r="AG4" s="5"/>
      <c r="AH4" s="13"/>
      <c r="AI4" s="25"/>
      <c r="AJ4">
        <f>(AH4-AI3)</f>
        <v>0</v>
      </c>
      <c r="AK4">
        <f t="shared" ref="AK4:AK29" si="4">(AJ4*AJ4)</f>
        <v>0</v>
      </c>
      <c r="AL4" s="25"/>
      <c r="AM4" s="28"/>
      <c r="AO4" s="5"/>
      <c r="AP4" s="13"/>
      <c r="AQ4" s="25"/>
      <c r="AR4">
        <f>(AP4-AQ3)</f>
        <v>0</v>
      </c>
      <c r="AS4">
        <f t="shared" ref="AS4:AS29" si="5">(AR4*AR4)</f>
        <v>0</v>
      </c>
      <c r="AT4" s="25"/>
      <c r="AU4" s="28"/>
    </row>
    <row r="5" spans="1:47" x14ac:dyDescent="0.2">
      <c r="A5" s="7"/>
      <c r="B5" s="14">
        <v>61.66</v>
      </c>
      <c r="C5" s="26"/>
      <c r="D5" s="9">
        <f>(B5-C3)</f>
        <v>-0.42333333333333911</v>
      </c>
      <c r="E5" s="9">
        <f t="shared" si="0"/>
        <v>0.17921111111111601</v>
      </c>
      <c r="F5" s="26"/>
      <c r="G5" s="29"/>
      <c r="I5" s="7"/>
      <c r="J5" s="14">
        <v>3.86</v>
      </c>
      <c r="K5" s="26"/>
      <c r="L5" s="9">
        <f>(J5-K3)</f>
        <v>7.6666666666666661E-2</v>
      </c>
      <c r="M5" s="9">
        <f t="shared" si="1"/>
        <v>5.8777777777777769E-3</v>
      </c>
      <c r="N5" s="26"/>
      <c r="O5" s="29"/>
      <c r="Q5" s="7"/>
      <c r="R5" s="14">
        <v>17.28</v>
      </c>
      <c r="S5" s="26"/>
      <c r="T5" s="9">
        <f>(R5-S3)</f>
        <v>-4.6666666666666856E-2</v>
      </c>
      <c r="U5" s="9">
        <f t="shared" si="2"/>
        <v>2.1777777777777954E-3</v>
      </c>
      <c r="V5" s="26"/>
      <c r="W5" s="29"/>
      <c r="Y5" s="7"/>
      <c r="Z5" s="14"/>
      <c r="AA5" s="26"/>
      <c r="AB5" s="9">
        <f>(Z5-AA3)</f>
        <v>0</v>
      </c>
      <c r="AC5" s="9">
        <f t="shared" si="3"/>
        <v>0</v>
      </c>
      <c r="AD5" s="26"/>
      <c r="AE5" s="29"/>
      <c r="AG5" s="7"/>
      <c r="AH5" s="14"/>
      <c r="AI5" s="26"/>
      <c r="AJ5" s="9">
        <f>(AH5-AI3)</f>
        <v>0</v>
      </c>
      <c r="AK5" s="9">
        <f t="shared" si="4"/>
        <v>0</v>
      </c>
      <c r="AL5" s="26"/>
      <c r="AM5" s="29"/>
      <c r="AO5" s="7"/>
      <c r="AP5" s="14"/>
      <c r="AQ5" s="26"/>
      <c r="AR5" s="9">
        <f>(AP5-AQ3)</f>
        <v>0</v>
      </c>
      <c r="AS5" s="9">
        <f t="shared" si="5"/>
        <v>0</v>
      </c>
      <c r="AT5" s="26"/>
      <c r="AU5" s="29"/>
    </row>
    <row r="6" spans="1:47" x14ac:dyDescent="0.2">
      <c r="A6" s="2">
        <v>2</v>
      </c>
      <c r="B6" s="15">
        <v>62.04</v>
      </c>
      <c r="C6" s="24">
        <f>(SUM(B6:B8)/3)</f>
        <v>61.873333333333335</v>
      </c>
      <c r="D6" s="4">
        <f>(B6-C$6)</f>
        <v>0.1666666666666643</v>
      </c>
      <c r="E6" s="4">
        <f t="shared" si="0"/>
        <v>2.7777777777776989E-2</v>
      </c>
      <c r="F6" s="24">
        <f t="shared" ref="F6" si="6">(SQRT(SUM(E6:E8)/2))</f>
        <v>0.20108041509140936</v>
      </c>
      <c r="G6" s="27">
        <f t="shared" ref="G6" si="7">((F6/C6)*100)</f>
        <v>0.32498720249662111</v>
      </c>
      <c r="I6" s="2">
        <v>2</v>
      </c>
      <c r="J6" s="15">
        <v>4</v>
      </c>
      <c r="K6" s="24">
        <f>(SUM(J6:J8)/3)</f>
        <v>4.0599999999999996</v>
      </c>
      <c r="L6" s="4">
        <f>(J6-K$6)</f>
        <v>-5.9999999999999609E-2</v>
      </c>
      <c r="M6" s="4">
        <f t="shared" si="1"/>
        <v>3.5999999999999531E-3</v>
      </c>
      <c r="N6" s="24">
        <f t="shared" ref="N6" si="8">(SQRT(SUM(M6:M8)/2))</f>
        <v>0.14933184523068097</v>
      </c>
      <c r="O6" s="27">
        <f t="shared" ref="O6" si="9">((N6/K6)*100)</f>
        <v>3.6781242667655416</v>
      </c>
      <c r="Q6" s="2">
        <v>2</v>
      </c>
      <c r="R6" s="15">
        <v>17.600000000000001</v>
      </c>
      <c r="S6" s="24">
        <f>(SUM(R6:R8)/3)</f>
        <v>17.636666666666667</v>
      </c>
      <c r="T6" s="4">
        <f>(R6-S$6)</f>
        <v>-3.6666666666665293E-2</v>
      </c>
      <c r="U6" s="4">
        <f t="shared" si="2"/>
        <v>1.3444444444443437E-3</v>
      </c>
      <c r="V6" s="24">
        <f t="shared" ref="V6" si="10">(SQRT(SUM(U6:U8)/2))</f>
        <v>5.5075705472860274E-2</v>
      </c>
      <c r="W6" s="27">
        <f t="shared" ref="W6" si="11">((V6/S6)*100)</f>
        <v>0.3122795623106801</v>
      </c>
      <c r="Y6" s="2">
        <v>2</v>
      </c>
      <c r="Z6" s="15"/>
      <c r="AA6" s="24">
        <f>(SUM(Z6:Z8)/3)</f>
        <v>0</v>
      </c>
      <c r="AB6" s="4">
        <f>(Z6-AA$6)</f>
        <v>0</v>
      </c>
      <c r="AC6" s="4">
        <f t="shared" si="3"/>
        <v>0</v>
      </c>
      <c r="AD6" s="24">
        <f t="shared" ref="AD6" si="12">(SQRT(SUM(AC6:AC8)/2))</f>
        <v>0</v>
      </c>
      <c r="AE6" s="27" t="e">
        <f t="shared" ref="AE6" si="13">((AD6/AA6)*100)</f>
        <v>#DIV/0!</v>
      </c>
      <c r="AG6" s="2">
        <v>2</v>
      </c>
      <c r="AH6" s="15"/>
      <c r="AI6" s="24">
        <f>(SUM(AH6:AH8)/3)</f>
        <v>0</v>
      </c>
      <c r="AJ6" s="4">
        <f>(AH6-AI$6)</f>
        <v>0</v>
      </c>
      <c r="AK6" s="4">
        <f t="shared" si="4"/>
        <v>0</v>
      </c>
      <c r="AL6" s="24">
        <f t="shared" ref="AL6" si="14">(SQRT(SUM(AK6:AK8)/2))</f>
        <v>0</v>
      </c>
      <c r="AM6" s="27" t="e">
        <f t="shared" ref="AM6" si="15">((AL6/AI6)*100)</f>
        <v>#DIV/0!</v>
      </c>
      <c r="AO6" s="2">
        <v>2</v>
      </c>
      <c r="AP6" s="15"/>
      <c r="AQ6" s="24">
        <f>(SUM(AP6:AP8)/3)</f>
        <v>0</v>
      </c>
      <c r="AR6" s="4">
        <f>(AP6-AQ$6)</f>
        <v>0</v>
      </c>
      <c r="AS6" s="4">
        <f t="shared" si="5"/>
        <v>0</v>
      </c>
      <c r="AT6" s="24">
        <f t="shared" ref="AT6" si="16">(SQRT(SUM(AS6:AS8)/2))</f>
        <v>0</v>
      </c>
      <c r="AU6" s="27" t="e">
        <f t="shared" ref="AU6" si="17">((AT6/AQ6)*100)</f>
        <v>#DIV/0!</v>
      </c>
    </row>
    <row r="7" spans="1:47" x14ac:dyDescent="0.2">
      <c r="A7" s="5"/>
      <c r="B7" s="13">
        <v>61.93</v>
      </c>
      <c r="C7" s="25"/>
      <c r="D7">
        <f>(B7-C$6)</f>
        <v>5.6666666666664867E-2</v>
      </c>
      <c r="E7">
        <f t="shared" si="0"/>
        <v>3.2111111111109069E-3</v>
      </c>
      <c r="F7" s="25"/>
      <c r="G7" s="28"/>
      <c r="I7" s="5"/>
      <c r="J7" s="13">
        <v>3.95</v>
      </c>
      <c r="K7" s="25"/>
      <c r="L7">
        <f t="shared" ref="L7:L8" si="18">(J7-K$6)</f>
        <v>-0.10999999999999943</v>
      </c>
      <c r="M7">
        <f t="shared" si="1"/>
        <v>1.2099999999999875E-2</v>
      </c>
      <c r="N7" s="25"/>
      <c r="O7" s="28"/>
      <c r="Q7" s="5"/>
      <c r="R7" s="13">
        <v>17.61</v>
      </c>
      <c r="S7" s="25"/>
      <c r="T7">
        <f t="shared" ref="T7:T8" si="19">(R7-S$6)</f>
        <v>-2.6666666666667282E-2</v>
      </c>
      <c r="U7">
        <f t="shared" si="2"/>
        <v>7.11111111111144E-4</v>
      </c>
      <c r="V7" s="25"/>
      <c r="W7" s="28"/>
      <c r="Y7" s="5"/>
      <c r="Z7" s="13"/>
      <c r="AA7" s="25"/>
      <c r="AB7">
        <f t="shared" ref="AB7:AB8" si="20">(Z7-AA$6)</f>
        <v>0</v>
      </c>
      <c r="AC7">
        <f t="shared" si="3"/>
        <v>0</v>
      </c>
      <c r="AD7" s="25"/>
      <c r="AE7" s="28"/>
      <c r="AG7" s="5"/>
      <c r="AH7" s="13"/>
      <c r="AI7" s="25"/>
      <c r="AJ7">
        <f t="shared" ref="AJ7:AJ8" si="21">(AH7-AI$6)</f>
        <v>0</v>
      </c>
      <c r="AK7">
        <f t="shared" si="4"/>
        <v>0</v>
      </c>
      <c r="AL7" s="25"/>
      <c r="AM7" s="28"/>
      <c r="AO7" s="5"/>
      <c r="AP7" s="13"/>
      <c r="AQ7" s="25"/>
      <c r="AR7">
        <f t="shared" ref="AR7:AR8" si="22">(AP7-AQ$6)</f>
        <v>0</v>
      </c>
      <c r="AS7">
        <f t="shared" si="5"/>
        <v>0</v>
      </c>
      <c r="AT7" s="25"/>
      <c r="AU7" s="28"/>
    </row>
    <row r="8" spans="1:47" x14ac:dyDescent="0.2">
      <c r="A8" s="7"/>
      <c r="B8" s="14">
        <v>61.65</v>
      </c>
      <c r="C8" s="26"/>
      <c r="D8" s="9">
        <f>(B8-C$6)</f>
        <v>-0.22333333333333627</v>
      </c>
      <c r="E8" s="9">
        <f t="shared" si="0"/>
        <v>4.9877777777779089E-2</v>
      </c>
      <c r="F8" s="26"/>
      <c r="G8" s="29"/>
      <c r="I8" s="7"/>
      <c r="J8" s="14">
        <v>4.2300000000000004</v>
      </c>
      <c r="K8" s="26"/>
      <c r="L8" s="9">
        <f t="shared" si="18"/>
        <v>0.17000000000000082</v>
      </c>
      <c r="M8" s="9">
        <f t="shared" si="1"/>
        <v>2.8900000000000276E-2</v>
      </c>
      <c r="N8" s="26"/>
      <c r="O8" s="29"/>
      <c r="Q8" s="7"/>
      <c r="R8" s="14">
        <v>17.7</v>
      </c>
      <c r="S8" s="26"/>
      <c r="T8" s="9">
        <f t="shared" si="19"/>
        <v>6.3333333333332575E-2</v>
      </c>
      <c r="U8" s="9">
        <f t="shared" si="2"/>
        <v>4.0111111111110148E-3</v>
      </c>
      <c r="V8" s="26"/>
      <c r="W8" s="29"/>
      <c r="Y8" s="7"/>
      <c r="Z8" s="14"/>
      <c r="AA8" s="26"/>
      <c r="AB8" s="9">
        <f t="shared" si="20"/>
        <v>0</v>
      </c>
      <c r="AC8" s="9">
        <f t="shared" si="3"/>
        <v>0</v>
      </c>
      <c r="AD8" s="26"/>
      <c r="AE8" s="29"/>
      <c r="AG8" s="7"/>
      <c r="AH8" s="14"/>
      <c r="AI8" s="26"/>
      <c r="AJ8" s="9">
        <f t="shared" si="21"/>
        <v>0</v>
      </c>
      <c r="AK8" s="9">
        <f t="shared" si="4"/>
        <v>0</v>
      </c>
      <c r="AL8" s="26"/>
      <c r="AM8" s="29"/>
      <c r="AO8" s="7"/>
      <c r="AP8" s="14"/>
      <c r="AQ8" s="26"/>
      <c r="AR8" s="9">
        <f t="shared" si="22"/>
        <v>0</v>
      </c>
      <c r="AS8" s="9">
        <f t="shared" si="5"/>
        <v>0</v>
      </c>
      <c r="AT8" s="26"/>
      <c r="AU8" s="29"/>
    </row>
    <row r="9" spans="1:47" x14ac:dyDescent="0.2">
      <c r="A9" s="2">
        <v>3</v>
      </c>
      <c r="B9" s="15">
        <v>61.66</v>
      </c>
      <c r="C9" s="24">
        <f>(SUM(B9:B11)/3)</f>
        <v>61.62</v>
      </c>
      <c r="D9" s="4">
        <f>(B9-C$9)</f>
        <v>3.9999999999999147E-2</v>
      </c>
      <c r="E9" s="4">
        <f t="shared" si="0"/>
        <v>1.5999999999999318E-3</v>
      </c>
      <c r="F9" s="24">
        <f t="shared" ref="F9" si="23">(SQRT(SUM(E9:E11)/2))</f>
        <v>4.5825756949557032E-2</v>
      </c>
      <c r="G9" s="27">
        <f t="shared" ref="G9" si="24">((F9/C9)*100)</f>
        <v>7.4368317022974736E-2</v>
      </c>
      <c r="I9" s="2">
        <v>3</v>
      </c>
      <c r="J9" s="15">
        <v>3.86</v>
      </c>
      <c r="K9" s="24">
        <f t="shared" ref="K9" si="25">(SUM(J9:J11)/3)</f>
        <v>3.8633333333333333</v>
      </c>
      <c r="L9" s="4">
        <f>(J9-K$9)</f>
        <v>-3.3333333333334103E-3</v>
      </c>
      <c r="M9" s="4">
        <f t="shared" si="1"/>
        <v>1.1111111111111625E-5</v>
      </c>
      <c r="N9" s="24">
        <f t="shared" ref="N9" si="26">(SQRT(SUM(M9:M11)/2))</f>
        <v>5.7735026918963907E-3</v>
      </c>
      <c r="O9" s="27">
        <f t="shared" ref="O9" si="27">((N9/K9)*100)</f>
        <v>0.14944355544166671</v>
      </c>
      <c r="Q9" s="2">
        <v>3</v>
      </c>
      <c r="R9" s="15">
        <v>17.22</v>
      </c>
      <c r="S9" s="24">
        <f t="shared" ref="S9" si="28">(SUM(R9:R11)/3)</f>
        <v>17.23</v>
      </c>
      <c r="T9" s="4">
        <f>(R9-S$9)</f>
        <v>-1.0000000000001563E-2</v>
      </c>
      <c r="U9" s="4">
        <f t="shared" si="2"/>
        <v>1.0000000000003127E-4</v>
      </c>
      <c r="V9" s="24">
        <f t="shared" ref="V9" si="29">(SQRT(SUM(U9:U11)/2))</f>
        <v>1.7320508075689429E-2</v>
      </c>
      <c r="W9" s="27">
        <f t="shared" ref="W9" si="30">((V9/S9)*100)</f>
        <v>0.10052529353273029</v>
      </c>
      <c r="Y9" s="2">
        <v>3</v>
      </c>
      <c r="Z9" s="15"/>
      <c r="AA9" s="24">
        <f t="shared" ref="AA9" si="31">(SUM(Z9:Z11)/3)</f>
        <v>0</v>
      </c>
      <c r="AB9" s="4">
        <f>(Z9-AA$9)</f>
        <v>0</v>
      </c>
      <c r="AC9" s="4">
        <f t="shared" si="3"/>
        <v>0</v>
      </c>
      <c r="AD9" s="24">
        <f t="shared" ref="AD9" si="32">(SQRT(SUM(AC9:AC11)/2))</f>
        <v>0</v>
      </c>
      <c r="AE9" s="27" t="e">
        <f t="shared" ref="AE9" si="33">((AD9/AA9)*100)</f>
        <v>#DIV/0!</v>
      </c>
      <c r="AG9" s="2">
        <v>3</v>
      </c>
      <c r="AH9" s="15"/>
      <c r="AI9" s="24">
        <f t="shared" ref="AI9" si="34">(SUM(AH9:AH11)/3)</f>
        <v>0</v>
      </c>
      <c r="AJ9" s="4">
        <f>(AH9-AI$9)</f>
        <v>0</v>
      </c>
      <c r="AK9" s="4">
        <f t="shared" si="4"/>
        <v>0</v>
      </c>
      <c r="AL9" s="24">
        <f t="shared" ref="AL9" si="35">(SQRT(SUM(AK9:AK11)/2))</f>
        <v>0</v>
      </c>
      <c r="AM9" s="27" t="e">
        <f t="shared" ref="AM9" si="36">((AL9/AI9)*100)</f>
        <v>#DIV/0!</v>
      </c>
      <c r="AO9" s="2">
        <v>3</v>
      </c>
      <c r="AP9" s="15"/>
      <c r="AQ9" s="24">
        <f t="shared" ref="AQ9" si="37">(SUM(AP9:AP11)/3)</f>
        <v>0</v>
      </c>
      <c r="AR9" s="4">
        <f>(AP9-AQ$9)</f>
        <v>0</v>
      </c>
      <c r="AS9" s="4">
        <f t="shared" si="5"/>
        <v>0</v>
      </c>
      <c r="AT9" s="24">
        <f t="shared" ref="AT9" si="38">(SQRT(SUM(AS9:AS11)/2))</f>
        <v>0</v>
      </c>
      <c r="AU9" s="27" t="e">
        <f t="shared" ref="AU9" si="39">((AT9/AQ9)*100)</f>
        <v>#DIV/0!</v>
      </c>
    </row>
    <row r="10" spans="1:47" x14ac:dyDescent="0.2">
      <c r="A10" s="5"/>
      <c r="B10" s="13">
        <v>61.63</v>
      </c>
      <c r="C10" s="25"/>
      <c r="D10">
        <f>(B10-C$9)</f>
        <v>1.0000000000005116E-2</v>
      </c>
      <c r="E10">
        <f t="shared" si="0"/>
        <v>1.0000000000010231E-4</v>
      </c>
      <c r="F10" s="25"/>
      <c r="G10" s="28"/>
      <c r="I10" s="5"/>
      <c r="J10" s="13">
        <v>3.87</v>
      </c>
      <c r="K10" s="25"/>
      <c r="L10">
        <f t="shared" ref="L10:L11" si="40">(J10-K$9)</f>
        <v>6.6666666666668206E-3</v>
      </c>
      <c r="M10">
        <f t="shared" si="1"/>
        <v>4.44444444444465E-5</v>
      </c>
      <c r="N10" s="25"/>
      <c r="O10" s="28"/>
      <c r="Q10" s="5"/>
      <c r="R10" s="13">
        <v>17.25</v>
      </c>
      <c r="S10" s="25"/>
      <c r="T10">
        <f t="shared" ref="T10:T11" si="41">(R10-S$9)</f>
        <v>1.9999999999999574E-2</v>
      </c>
      <c r="U10">
        <f t="shared" si="2"/>
        <v>3.9999999999998294E-4</v>
      </c>
      <c r="V10" s="25"/>
      <c r="W10" s="28"/>
      <c r="Y10" s="5"/>
      <c r="Z10" s="13"/>
      <c r="AA10" s="25"/>
      <c r="AB10">
        <f t="shared" ref="AB10:AB11" si="42">(Z10-AA$9)</f>
        <v>0</v>
      </c>
      <c r="AC10">
        <f t="shared" si="3"/>
        <v>0</v>
      </c>
      <c r="AD10" s="25"/>
      <c r="AE10" s="28"/>
      <c r="AG10" s="5"/>
      <c r="AH10" s="13"/>
      <c r="AI10" s="25"/>
      <c r="AJ10">
        <f t="shared" ref="AJ10:AJ11" si="43">(AH10-AI$9)</f>
        <v>0</v>
      </c>
      <c r="AK10">
        <f t="shared" si="4"/>
        <v>0</v>
      </c>
      <c r="AL10" s="25"/>
      <c r="AM10" s="28"/>
      <c r="AO10" s="5"/>
      <c r="AP10" s="13"/>
      <c r="AQ10" s="25"/>
      <c r="AR10">
        <f t="shared" ref="AR10:AR11" si="44">(AP10-AQ$9)</f>
        <v>0</v>
      </c>
      <c r="AS10">
        <f t="shared" si="5"/>
        <v>0</v>
      </c>
      <c r="AT10" s="25"/>
      <c r="AU10" s="28"/>
    </row>
    <row r="11" spans="1:47" x14ac:dyDescent="0.2">
      <c r="A11" s="7"/>
      <c r="B11" s="14">
        <v>61.57</v>
      </c>
      <c r="C11" s="26"/>
      <c r="D11" s="9">
        <f t="shared" ref="D11" si="45">(B11-C$9)</f>
        <v>-4.9999999999997158E-2</v>
      </c>
      <c r="E11" s="9">
        <f t="shared" si="0"/>
        <v>2.499999999999716E-3</v>
      </c>
      <c r="F11" s="26"/>
      <c r="G11" s="29"/>
      <c r="I11" s="7"/>
      <c r="J11" s="14">
        <v>3.86</v>
      </c>
      <c r="K11" s="26"/>
      <c r="L11" s="9">
        <f t="shared" si="40"/>
        <v>-3.3333333333334103E-3</v>
      </c>
      <c r="M11" s="9">
        <f t="shared" si="1"/>
        <v>1.1111111111111625E-5</v>
      </c>
      <c r="N11" s="26"/>
      <c r="O11" s="29"/>
      <c r="Q11" s="7"/>
      <c r="R11" s="14">
        <v>17.22</v>
      </c>
      <c r="S11" s="26"/>
      <c r="T11" s="9">
        <f t="shared" si="41"/>
        <v>-1.0000000000001563E-2</v>
      </c>
      <c r="U11" s="9">
        <f t="shared" si="2"/>
        <v>1.0000000000003127E-4</v>
      </c>
      <c r="V11" s="26"/>
      <c r="W11" s="29"/>
      <c r="Y11" s="7"/>
      <c r="Z11" s="14"/>
      <c r="AA11" s="26"/>
      <c r="AB11" s="9">
        <f t="shared" si="42"/>
        <v>0</v>
      </c>
      <c r="AC11" s="9">
        <f t="shared" si="3"/>
        <v>0</v>
      </c>
      <c r="AD11" s="26"/>
      <c r="AE11" s="29"/>
      <c r="AG11" s="7"/>
      <c r="AH11" s="14"/>
      <c r="AI11" s="26"/>
      <c r="AJ11" s="9">
        <f t="shared" si="43"/>
        <v>0</v>
      </c>
      <c r="AK11" s="9">
        <f t="shared" si="4"/>
        <v>0</v>
      </c>
      <c r="AL11" s="26"/>
      <c r="AM11" s="29"/>
      <c r="AO11" s="7"/>
      <c r="AP11" s="14"/>
      <c r="AQ11" s="26"/>
      <c r="AR11" s="9">
        <f t="shared" si="44"/>
        <v>0</v>
      </c>
      <c r="AS11" s="9">
        <f t="shared" si="5"/>
        <v>0</v>
      </c>
      <c r="AT11" s="26"/>
      <c r="AU11" s="29"/>
    </row>
    <row r="12" spans="1:47" x14ac:dyDescent="0.2">
      <c r="A12" s="2">
        <v>4</v>
      </c>
      <c r="B12" s="15">
        <v>61.63</v>
      </c>
      <c r="C12" s="24">
        <f t="shared" ref="C12" si="46">(SUM(B12:B14)/3)</f>
        <v>61.29</v>
      </c>
      <c r="D12" s="4">
        <f>(B12-C$12)</f>
        <v>0.34000000000000341</v>
      </c>
      <c r="E12" s="4">
        <f t="shared" si="0"/>
        <v>0.11560000000000233</v>
      </c>
      <c r="F12" s="24">
        <f t="shared" ref="F12" si="47">(SQRT(SUM(E12:E14)/2))</f>
        <v>0.29597297173897552</v>
      </c>
      <c r="G12" s="27">
        <f t="shared" ref="G12" si="48">((F12/C12)*100)</f>
        <v>0.48290581128891424</v>
      </c>
      <c r="I12" s="2">
        <v>4</v>
      </c>
      <c r="J12" s="15">
        <v>3.76</v>
      </c>
      <c r="K12" s="24">
        <f t="shared" ref="K12" si="49">(SUM(J12:J14)/3)</f>
        <v>3.6833333333333331</v>
      </c>
      <c r="L12" s="4">
        <f>(J12-K$12)</f>
        <v>7.6666666666666661E-2</v>
      </c>
      <c r="M12" s="4">
        <f t="shared" si="1"/>
        <v>5.8777777777777769E-3</v>
      </c>
      <c r="N12" s="24">
        <f t="shared" ref="N12" si="50">(SQRT(SUM(M12:M14)/2))</f>
        <v>0.14153915830374755</v>
      </c>
      <c r="O12" s="27">
        <f t="shared" ref="O12" si="51">((N12/K12)*100)</f>
        <v>3.84269208064473</v>
      </c>
      <c r="Q12" s="2">
        <v>4</v>
      </c>
      <c r="R12" s="15">
        <v>18.760000000000002</v>
      </c>
      <c r="S12" s="24">
        <f t="shared" ref="S12" si="52">(SUM(R12:R14)/3)</f>
        <v>18.566666666666666</v>
      </c>
      <c r="T12" s="4">
        <f>(R12-S$12)</f>
        <v>0.19333333333333513</v>
      </c>
      <c r="U12" s="4">
        <f t="shared" si="2"/>
        <v>3.7377777777778474E-2</v>
      </c>
      <c r="V12" s="24">
        <f t="shared" ref="V12" si="53">(SQRT(SUM(U12:U14)/2))</f>
        <v>0.25324559884296771</v>
      </c>
      <c r="W12" s="27">
        <f t="shared" ref="W12" si="54">((V12/S12)*100)</f>
        <v>1.3639798860483001</v>
      </c>
      <c r="Y12" s="2">
        <v>4</v>
      </c>
      <c r="Z12" s="15"/>
      <c r="AA12" s="24">
        <f t="shared" ref="AA12" si="55">(SUM(Z12:Z14)/3)</f>
        <v>0</v>
      </c>
      <c r="AB12" s="4">
        <f>(Z12-AA$12)</f>
        <v>0</v>
      </c>
      <c r="AC12" s="4">
        <f t="shared" si="3"/>
        <v>0</v>
      </c>
      <c r="AD12" s="24">
        <f t="shared" ref="AD12" si="56">(SQRT(SUM(AC12:AC14)/2))</f>
        <v>0</v>
      </c>
      <c r="AE12" s="27" t="e">
        <f t="shared" ref="AE12" si="57">((AD12/AA12)*100)</f>
        <v>#DIV/0!</v>
      </c>
      <c r="AG12" s="2">
        <v>4</v>
      </c>
      <c r="AH12" s="15"/>
      <c r="AI12" s="24">
        <f t="shared" ref="AI12" si="58">(SUM(AH12:AH14)/3)</f>
        <v>0</v>
      </c>
      <c r="AJ12" s="4">
        <f>(AH12-AI$12)</f>
        <v>0</v>
      </c>
      <c r="AK12" s="4">
        <f t="shared" si="4"/>
        <v>0</v>
      </c>
      <c r="AL12" s="24">
        <f t="shared" ref="AL12" si="59">(SQRT(SUM(AK12:AK14)/2))</f>
        <v>0</v>
      </c>
      <c r="AM12" s="27" t="e">
        <f t="shared" ref="AM12" si="60">((AL12/AI12)*100)</f>
        <v>#DIV/0!</v>
      </c>
      <c r="AO12" s="2">
        <v>4</v>
      </c>
      <c r="AP12" s="15"/>
      <c r="AQ12" s="24">
        <f t="shared" ref="AQ12" si="61">(SUM(AP12:AP14)/3)</f>
        <v>0</v>
      </c>
      <c r="AR12" s="4">
        <f>(AP12-AQ$12)</f>
        <v>0</v>
      </c>
      <c r="AS12" s="4">
        <f t="shared" si="5"/>
        <v>0</v>
      </c>
      <c r="AT12" s="24">
        <f t="shared" ref="AT12" si="62">(SQRT(SUM(AS12:AS14)/2))</f>
        <v>0</v>
      </c>
      <c r="AU12" s="27" t="e">
        <f t="shared" ref="AU12" si="63">((AT12/AQ12)*100)</f>
        <v>#DIV/0!</v>
      </c>
    </row>
    <row r="13" spans="1:47" x14ac:dyDescent="0.2">
      <c r="A13" s="5"/>
      <c r="B13" s="13">
        <v>61.09</v>
      </c>
      <c r="C13" s="25"/>
      <c r="D13">
        <f t="shared" ref="D13:D14" si="64">(B13-C$12)</f>
        <v>-0.19999999999999574</v>
      </c>
      <c r="E13">
        <f t="shared" si="0"/>
        <v>3.9999999999998294E-2</v>
      </c>
      <c r="F13" s="25"/>
      <c r="G13" s="28"/>
      <c r="I13" s="5"/>
      <c r="J13" s="13">
        <v>3.77</v>
      </c>
      <c r="K13" s="25"/>
      <c r="L13">
        <f t="shared" ref="L13:L14" si="65">(J13-K$12)</f>
        <v>8.6666666666666892E-2</v>
      </c>
      <c r="M13">
        <f t="shared" si="1"/>
        <v>7.5111111111111498E-3</v>
      </c>
      <c r="N13" s="25"/>
      <c r="O13" s="28"/>
      <c r="Q13" s="5"/>
      <c r="R13" s="13">
        <v>18.66</v>
      </c>
      <c r="S13" s="25"/>
      <c r="T13">
        <f t="shared" ref="T13:T14" si="66">(R13-S$12)</f>
        <v>9.3333333333333712E-2</v>
      </c>
      <c r="U13">
        <f t="shared" si="2"/>
        <v>8.7111111111111816E-3</v>
      </c>
      <c r="V13" s="25"/>
      <c r="W13" s="28"/>
      <c r="Y13" s="5"/>
      <c r="Z13" s="13"/>
      <c r="AA13" s="25"/>
      <c r="AB13">
        <f t="shared" ref="AB13:AB14" si="67">(Z13-AA$12)</f>
        <v>0</v>
      </c>
      <c r="AC13">
        <f t="shared" si="3"/>
        <v>0</v>
      </c>
      <c r="AD13" s="25"/>
      <c r="AE13" s="28"/>
      <c r="AG13" s="5"/>
      <c r="AH13" s="13"/>
      <c r="AI13" s="25"/>
      <c r="AJ13">
        <f t="shared" ref="AJ13:AJ14" si="68">(AH13-AI$12)</f>
        <v>0</v>
      </c>
      <c r="AK13">
        <f t="shared" si="4"/>
        <v>0</v>
      </c>
      <c r="AL13" s="25"/>
      <c r="AM13" s="28"/>
      <c r="AO13" s="5"/>
      <c r="AP13" s="13"/>
      <c r="AQ13" s="25"/>
      <c r="AR13">
        <f t="shared" ref="AR13:AR14" si="69">(AP13-AQ$12)</f>
        <v>0</v>
      </c>
      <c r="AS13">
        <f t="shared" si="5"/>
        <v>0</v>
      </c>
      <c r="AT13" s="25"/>
      <c r="AU13" s="28"/>
    </row>
    <row r="14" spans="1:47" x14ac:dyDescent="0.2">
      <c r="A14" s="7"/>
      <c r="B14" s="14">
        <v>61.15</v>
      </c>
      <c r="C14" s="26"/>
      <c r="D14" s="9">
        <f t="shared" si="64"/>
        <v>-0.14000000000000057</v>
      </c>
      <c r="E14" s="9">
        <f t="shared" si="0"/>
        <v>1.9600000000000159E-2</v>
      </c>
      <c r="F14" s="26"/>
      <c r="G14" s="29"/>
      <c r="I14" s="7"/>
      <c r="J14" s="14">
        <v>3.52</v>
      </c>
      <c r="K14" s="26"/>
      <c r="L14" s="9">
        <f t="shared" si="65"/>
        <v>-0.16333333333333311</v>
      </c>
      <c r="M14" s="9">
        <f t="shared" si="1"/>
        <v>2.6677777777777703E-2</v>
      </c>
      <c r="N14" s="26"/>
      <c r="O14" s="29"/>
      <c r="Q14" s="7"/>
      <c r="R14" s="14">
        <v>18.28</v>
      </c>
      <c r="S14" s="26"/>
      <c r="T14" s="9">
        <f t="shared" si="66"/>
        <v>-0.28666666666666529</v>
      </c>
      <c r="U14" s="9">
        <f t="shared" si="2"/>
        <v>8.2177777777776989E-2</v>
      </c>
      <c r="V14" s="26"/>
      <c r="W14" s="29"/>
      <c r="Y14" s="7"/>
      <c r="Z14" s="14"/>
      <c r="AA14" s="26"/>
      <c r="AB14" s="9">
        <f t="shared" si="67"/>
        <v>0</v>
      </c>
      <c r="AC14" s="9">
        <f t="shared" si="3"/>
        <v>0</v>
      </c>
      <c r="AD14" s="26"/>
      <c r="AE14" s="29"/>
      <c r="AG14" s="7"/>
      <c r="AH14" s="14"/>
      <c r="AI14" s="26"/>
      <c r="AJ14" s="9">
        <f t="shared" si="68"/>
        <v>0</v>
      </c>
      <c r="AK14" s="9">
        <f t="shared" si="4"/>
        <v>0</v>
      </c>
      <c r="AL14" s="26"/>
      <c r="AM14" s="29"/>
      <c r="AO14" s="7"/>
      <c r="AP14" s="14"/>
      <c r="AQ14" s="26"/>
      <c r="AR14" s="9">
        <f t="shared" si="69"/>
        <v>0</v>
      </c>
      <c r="AS14" s="9">
        <f t="shared" si="5"/>
        <v>0</v>
      </c>
      <c r="AT14" s="26"/>
      <c r="AU14" s="29"/>
    </row>
    <row r="15" spans="1:47" x14ac:dyDescent="0.2">
      <c r="A15" s="2">
        <v>5</v>
      </c>
      <c r="B15" s="15">
        <v>60.63</v>
      </c>
      <c r="C15" s="24">
        <f t="shared" ref="C15" si="70">(SUM(B15:B17)/3)</f>
        <v>60.50333333333333</v>
      </c>
      <c r="D15" s="4">
        <f>(B15-C$15)</f>
        <v>0.12666666666667226</v>
      </c>
      <c r="E15" s="4">
        <f t="shared" si="0"/>
        <v>1.604444444444586E-2</v>
      </c>
      <c r="F15" s="24">
        <f t="shared" ref="F15" si="71">(SQRT(SUM(E15:E17)/2))</f>
        <v>0.19399312702602001</v>
      </c>
      <c r="G15" s="27">
        <f t="shared" ref="G15" si="72">((F15/C15)*100)</f>
        <v>0.32063213105507138</v>
      </c>
      <c r="I15" s="2">
        <v>5</v>
      </c>
      <c r="J15" s="15">
        <v>3.71</v>
      </c>
      <c r="K15" s="24">
        <f t="shared" ref="K15" si="73">(SUM(J15:J17)/3)</f>
        <v>3.76</v>
      </c>
      <c r="L15" s="4">
        <f>(J15-K$15)</f>
        <v>-4.9999999999999822E-2</v>
      </c>
      <c r="M15" s="4">
        <f t="shared" si="1"/>
        <v>2.4999999999999823E-3</v>
      </c>
      <c r="N15" s="24">
        <f t="shared" ref="N15" si="74">(SQRT(SUM(M15:M17)/2))</f>
        <v>5.5677643628300154E-2</v>
      </c>
      <c r="O15" s="27">
        <f t="shared" ref="O15" si="75">((N15/K15)*100)</f>
        <v>1.4807883943696851</v>
      </c>
      <c r="Q15" s="2">
        <v>5</v>
      </c>
      <c r="R15" s="16">
        <v>18.2</v>
      </c>
      <c r="S15" s="24">
        <f t="shared" ref="S15" si="76">(SUM(R15:R17)/3)</f>
        <v>18.176666666666666</v>
      </c>
      <c r="T15" s="4">
        <f>(R15-S$15)</f>
        <v>2.3333333333333428E-2</v>
      </c>
      <c r="U15" s="4">
        <f t="shared" si="2"/>
        <v>5.4444444444444885E-4</v>
      </c>
      <c r="V15" s="24">
        <f t="shared" ref="V15" si="77">(SQRT(SUM(U15:U17)/2))</f>
        <v>3.2145502536642868E-2</v>
      </c>
      <c r="W15" s="27">
        <f t="shared" ref="W15" si="78">((V15/S15)*100)</f>
        <v>0.17685037155681022</v>
      </c>
      <c r="Y15" s="2">
        <v>5</v>
      </c>
      <c r="Z15" s="15"/>
      <c r="AA15" s="24">
        <f t="shared" ref="AA15" si="79">(SUM(Z15:Z17)/3)</f>
        <v>0</v>
      </c>
      <c r="AB15" s="4">
        <f>(Z15-AA$15)</f>
        <v>0</v>
      </c>
      <c r="AC15" s="4">
        <f t="shared" si="3"/>
        <v>0</v>
      </c>
      <c r="AD15" s="24">
        <f t="shared" ref="AD15" si="80">(SQRT(SUM(AC15:AC17)/2))</f>
        <v>0</v>
      </c>
      <c r="AE15" s="27" t="e">
        <f t="shared" ref="AE15" si="81">((AD15/AA15)*100)</f>
        <v>#DIV/0!</v>
      </c>
      <c r="AG15" s="2">
        <v>5</v>
      </c>
      <c r="AH15" s="15"/>
      <c r="AI15" s="24">
        <f t="shared" ref="AI15" si="82">(SUM(AH15:AH17)/3)</f>
        <v>0</v>
      </c>
      <c r="AJ15" s="4">
        <f>(AH15-AI$15)</f>
        <v>0</v>
      </c>
      <c r="AK15" s="4">
        <f t="shared" si="4"/>
        <v>0</v>
      </c>
      <c r="AL15" s="24">
        <f t="shared" ref="AL15" si="83">(SQRT(SUM(AK15:AK17)/2))</f>
        <v>0</v>
      </c>
      <c r="AM15" s="27" t="e">
        <f t="shared" ref="AM15" si="84">((AL15/AI15)*100)</f>
        <v>#DIV/0!</v>
      </c>
      <c r="AO15" s="2">
        <v>5</v>
      </c>
      <c r="AP15" s="15"/>
      <c r="AQ15" s="24">
        <f t="shared" ref="AQ15" si="85">(SUM(AP15:AP17)/3)</f>
        <v>0</v>
      </c>
      <c r="AR15" s="4">
        <f>(AP15-AQ$15)</f>
        <v>0</v>
      </c>
      <c r="AS15" s="4">
        <f t="shared" si="5"/>
        <v>0</v>
      </c>
      <c r="AT15" s="24">
        <f t="shared" ref="AT15" si="86">(SQRT(SUM(AS15:AS17)/2))</f>
        <v>0</v>
      </c>
      <c r="AU15" s="27" t="e">
        <f t="shared" ref="AU15" si="87">((AT15/AQ15)*100)</f>
        <v>#DIV/0!</v>
      </c>
    </row>
    <row r="16" spans="1:47" x14ac:dyDescent="0.2">
      <c r="A16" s="5"/>
      <c r="B16" s="13">
        <v>60.28</v>
      </c>
      <c r="C16" s="25"/>
      <c r="D16">
        <f t="shared" ref="D16:D17" si="88">(B16-C$15)</f>
        <v>-0.22333333333332916</v>
      </c>
      <c r="E16">
        <f t="shared" si="0"/>
        <v>4.9877777777775918E-2</v>
      </c>
      <c r="F16" s="25"/>
      <c r="G16" s="28"/>
      <c r="I16" s="5"/>
      <c r="J16" s="13">
        <v>3.75</v>
      </c>
      <c r="K16" s="25"/>
      <c r="L16">
        <f t="shared" ref="L16:L17" si="89">(J16-K$15)</f>
        <v>-9.9999999999997868E-3</v>
      </c>
      <c r="M16">
        <f t="shared" si="1"/>
        <v>9.9999999999995736E-5</v>
      </c>
      <c r="N16" s="25"/>
      <c r="O16" s="28"/>
      <c r="Q16" s="5"/>
      <c r="R16" s="13">
        <v>18.14</v>
      </c>
      <c r="S16" s="25"/>
      <c r="T16">
        <f t="shared" ref="T16:T17" si="90">(R16-S$15)</f>
        <v>-3.6666666666665293E-2</v>
      </c>
      <c r="U16">
        <f t="shared" si="2"/>
        <v>1.3444444444443437E-3</v>
      </c>
      <c r="V16" s="25"/>
      <c r="W16" s="28"/>
      <c r="Y16" s="5"/>
      <c r="Z16" s="13"/>
      <c r="AA16" s="25"/>
      <c r="AB16">
        <f t="shared" ref="AB16:AB17" si="91">(Z16-AA$15)</f>
        <v>0</v>
      </c>
      <c r="AC16">
        <f t="shared" si="3"/>
        <v>0</v>
      </c>
      <c r="AD16" s="25"/>
      <c r="AE16" s="28"/>
      <c r="AG16" s="5"/>
      <c r="AH16" s="13"/>
      <c r="AI16" s="25"/>
      <c r="AJ16">
        <f t="shared" ref="AJ16:AJ17" si="92">(AH16-AI$15)</f>
        <v>0</v>
      </c>
      <c r="AK16">
        <f t="shared" si="4"/>
        <v>0</v>
      </c>
      <c r="AL16" s="25"/>
      <c r="AM16" s="28"/>
      <c r="AO16" s="5"/>
      <c r="AP16" s="13"/>
      <c r="AQ16" s="25"/>
      <c r="AR16">
        <f t="shared" ref="AR16:AR17" si="93">(AP16-AQ$15)</f>
        <v>0</v>
      </c>
      <c r="AS16">
        <f t="shared" si="5"/>
        <v>0</v>
      </c>
      <c r="AT16" s="25"/>
      <c r="AU16" s="28"/>
    </row>
    <row r="17" spans="1:47" x14ac:dyDescent="0.2">
      <c r="A17" s="7"/>
      <c r="B17" s="17">
        <v>60.6</v>
      </c>
      <c r="C17" s="26"/>
      <c r="D17" s="9">
        <f t="shared" si="88"/>
        <v>9.6666666666671119E-2</v>
      </c>
      <c r="E17" s="9">
        <f t="shared" si="0"/>
        <v>9.3444444444453056E-3</v>
      </c>
      <c r="F17" s="26"/>
      <c r="G17" s="29"/>
      <c r="I17" s="7"/>
      <c r="J17" s="14">
        <v>3.82</v>
      </c>
      <c r="K17" s="26"/>
      <c r="L17" s="9">
        <f t="shared" si="89"/>
        <v>6.0000000000000053E-2</v>
      </c>
      <c r="M17" s="9">
        <f t="shared" si="1"/>
        <v>3.6000000000000064E-3</v>
      </c>
      <c r="N17" s="26"/>
      <c r="O17" s="29"/>
      <c r="Q17" s="7"/>
      <c r="R17" s="14">
        <v>18.190000000000001</v>
      </c>
      <c r="S17" s="26"/>
      <c r="T17" s="9">
        <f t="shared" si="90"/>
        <v>1.3333333333335418E-2</v>
      </c>
      <c r="U17" s="9">
        <f t="shared" si="2"/>
        <v>1.7777777777783335E-4</v>
      </c>
      <c r="V17" s="26"/>
      <c r="W17" s="29"/>
      <c r="Y17" s="7"/>
      <c r="Z17" s="14"/>
      <c r="AA17" s="26"/>
      <c r="AB17" s="9">
        <f t="shared" si="91"/>
        <v>0</v>
      </c>
      <c r="AC17" s="9">
        <f t="shared" si="3"/>
        <v>0</v>
      </c>
      <c r="AD17" s="26"/>
      <c r="AE17" s="29"/>
      <c r="AG17" s="7"/>
      <c r="AH17" s="14"/>
      <c r="AI17" s="26"/>
      <c r="AJ17" s="9">
        <f t="shared" si="92"/>
        <v>0</v>
      </c>
      <c r="AK17" s="9">
        <f t="shared" si="4"/>
        <v>0</v>
      </c>
      <c r="AL17" s="26"/>
      <c r="AM17" s="29"/>
      <c r="AO17" s="7"/>
      <c r="AP17" s="14"/>
      <c r="AQ17" s="26"/>
      <c r="AR17" s="9">
        <f t="shared" si="93"/>
        <v>0</v>
      </c>
      <c r="AS17" s="9">
        <f t="shared" si="5"/>
        <v>0</v>
      </c>
      <c r="AT17" s="26"/>
      <c r="AU17" s="29"/>
    </row>
    <row r="18" spans="1:47" x14ac:dyDescent="0.2">
      <c r="A18" s="2">
        <v>6</v>
      </c>
      <c r="B18" s="15">
        <v>60.27</v>
      </c>
      <c r="C18" s="24">
        <f t="shared" ref="C18" si="94">(SUM(B18:B20)/3)</f>
        <v>60.463333333333338</v>
      </c>
      <c r="D18" s="4">
        <f>(B18-C$18)</f>
        <v>-0.19333333333333513</v>
      </c>
      <c r="E18" s="4">
        <f t="shared" si="0"/>
        <v>3.7377777777778474E-2</v>
      </c>
      <c r="F18" s="24">
        <f t="shared" ref="F18" si="95">(SQRT(SUM(E18:E20)/2))</f>
        <v>0.19008769905844106</v>
      </c>
      <c r="G18" s="27">
        <f t="shared" ref="G18" si="96">((F18/C18)*100)</f>
        <v>0.31438508031055906</v>
      </c>
      <c r="I18" s="2">
        <v>6</v>
      </c>
      <c r="J18" s="15">
        <v>3.87</v>
      </c>
      <c r="K18" s="24">
        <f t="shared" ref="K18" si="97">(SUM(J18:J20)/3)</f>
        <v>3.8766666666666665</v>
      </c>
      <c r="L18" s="4">
        <f>(J18-K$18)</f>
        <v>-6.6666666666663765E-3</v>
      </c>
      <c r="M18" s="4">
        <f t="shared" si="1"/>
        <v>4.4444444444440577E-5</v>
      </c>
      <c r="N18" s="24">
        <f t="shared" ref="N18" si="98">(SQRT(SUM(M18:M20)/2))</f>
        <v>1.1547005383792526E-2</v>
      </c>
      <c r="O18" s="27">
        <f t="shared" ref="O18" si="99">((N18/K18)*100)</f>
        <v>0.29785912425948052</v>
      </c>
      <c r="Q18" s="2">
        <v>6</v>
      </c>
      <c r="R18" s="15">
        <v>18.489999999999998</v>
      </c>
      <c r="S18" s="24">
        <f t="shared" ref="S18" si="100">(SUM(R18:R20)/3)</f>
        <v>18.519999999999996</v>
      </c>
      <c r="T18" s="4">
        <f>(R18-S$18)</f>
        <v>-2.9999999999997584E-2</v>
      </c>
      <c r="U18" s="4">
        <f t="shared" si="2"/>
        <v>8.9999999999985502E-4</v>
      </c>
      <c r="V18" s="24">
        <f t="shared" ref="V18" si="101">(SQRT(SUM(U18:U20)/2))</f>
        <v>5.1961524227066236E-2</v>
      </c>
      <c r="W18" s="27">
        <f t="shared" ref="W18" si="102">((V18/S18)*100)</f>
        <v>0.28056978524333825</v>
      </c>
      <c r="Y18" s="2">
        <v>6</v>
      </c>
      <c r="Z18" s="15"/>
      <c r="AA18" s="24">
        <f t="shared" ref="AA18" si="103">(SUM(Z18:Z20)/3)</f>
        <v>0</v>
      </c>
      <c r="AB18" s="4">
        <f>(Z18-AA$18)</f>
        <v>0</v>
      </c>
      <c r="AC18" s="4">
        <f t="shared" si="3"/>
        <v>0</v>
      </c>
      <c r="AD18" s="24">
        <f t="shared" ref="AD18" si="104">(SQRT(SUM(AC18:AC20)/2))</f>
        <v>0</v>
      </c>
      <c r="AE18" s="27" t="e">
        <f t="shared" ref="AE18" si="105">((AD18/AA18)*100)</f>
        <v>#DIV/0!</v>
      </c>
      <c r="AG18" s="2">
        <v>6</v>
      </c>
      <c r="AH18" s="15"/>
      <c r="AI18" s="24">
        <f t="shared" ref="AI18" si="106">(SUM(AH18:AH20)/3)</f>
        <v>0</v>
      </c>
      <c r="AJ18" s="4">
        <f>(AH18-AI$18)</f>
        <v>0</v>
      </c>
      <c r="AK18" s="4">
        <f t="shared" si="4"/>
        <v>0</v>
      </c>
      <c r="AL18" s="24">
        <f t="shared" ref="AL18" si="107">(SQRT(SUM(AK18:AK20)/2))</f>
        <v>0</v>
      </c>
      <c r="AM18" s="27" t="e">
        <f t="shared" ref="AM18" si="108">((AL18/AI18)*100)</f>
        <v>#DIV/0!</v>
      </c>
      <c r="AO18" s="2">
        <v>6</v>
      </c>
      <c r="AP18" s="15"/>
      <c r="AQ18" s="24">
        <f t="shared" ref="AQ18" si="109">(SUM(AP18:AP20)/3)</f>
        <v>0</v>
      </c>
      <c r="AR18" s="4">
        <f>(AP18-AQ$18)</f>
        <v>0</v>
      </c>
      <c r="AS18" s="4">
        <f t="shared" si="5"/>
        <v>0</v>
      </c>
      <c r="AT18" s="24">
        <f t="shared" ref="AT18" si="110">(SQRT(SUM(AS18:AS20)/2))</f>
        <v>0</v>
      </c>
      <c r="AU18" s="27" t="e">
        <f t="shared" ref="AU18" si="111">((AT18/AQ18)*100)</f>
        <v>#DIV/0!</v>
      </c>
    </row>
    <row r="19" spans="1:47" x14ac:dyDescent="0.2">
      <c r="A19" s="5"/>
      <c r="B19" s="13">
        <v>60.47</v>
      </c>
      <c r="C19" s="25"/>
      <c r="D19">
        <f t="shared" ref="D19:D20" si="112">(B19-C$18)</f>
        <v>6.6666666666606034E-3</v>
      </c>
      <c r="E19">
        <f t="shared" si="0"/>
        <v>4.4444444444363599E-5</v>
      </c>
      <c r="F19" s="25"/>
      <c r="G19" s="28"/>
      <c r="I19" s="5"/>
      <c r="J19" s="13">
        <v>3.89</v>
      </c>
      <c r="K19" s="25"/>
      <c r="L19">
        <f t="shared" ref="L19:L20" si="113">(J19-K$18)</f>
        <v>1.3333333333333641E-2</v>
      </c>
      <c r="M19">
        <f t="shared" si="1"/>
        <v>1.77777777777786E-4</v>
      </c>
      <c r="N19" s="25"/>
      <c r="O19" s="28"/>
      <c r="Q19" s="5"/>
      <c r="R19" s="13">
        <v>18.579999999999998</v>
      </c>
      <c r="S19" s="25"/>
      <c r="T19">
        <f t="shared" ref="T19:T20" si="114">(R19-S$18)</f>
        <v>6.0000000000002274E-2</v>
      </c>
      <c r="U19">
        <f t="shared" si="2"/>
        <v>3.6000000000002727E-3</v>
      </c>
      <c r="V19" s="25"/>
      <c r="W19" s="28"/>
      <c r="Y19" s="5"/>
      <c r="Z19" s="13"/>
      <c r="AA19" s="25"/>
      <c r="AB19">
        <f t="shared" ref="AB19:AB20" si="115">(Z19-AA$18)</f>
        <v>0</v>
      </c>
      <c r="AC19">
        <f t="shared" si="3"/>
        <v>0</v>
      </c>
      <c r="AD19" s="25"/>
      <c r="AE19" s="28"/>
      <c r="AG19" s="5"/>
      <c r="AH19" s="13"/>
      <c r="AI19" s="25"/>
      <c r="AJ19">
        <f t="shared" ref="AJ19:AJ20" si="116">(AH19-AI$18)</f>
        <v>0</v>
      </c>
      <c r="AK19">
        <f t="shared" si="4"/>
        <v>0</v>
      </c>
      <c r="AL19" s="25"/>
      <c r="AM19" s="28"/>
      <c r="AO19" s="5"/>
      <c r="AP19" s="13"/>
      <c r="AQ19" s="25"/>
      <c r="AR19">
        <f t="shared" ref="AR19:AR20" si="117">(AP19-AQ$18)</f>
        <v>0</v>
      </c>
      <c r="AS19">
        <f t="shared" si="5"/>
        <v>0</v>
      </c>
      <c r="AT19" s="25"/>
      <c r="AU19" s="28"/>
    </row>
    <row r="20" spans="1:47" x14ac:dyDescent="0.2">
      <c r="A20" s="7"/>
      <c r="B20" s="14">
        <v>60.65</v>
      </c>
      <c r="C20" s="26"/>
      <c r="D20" s="9">
        <f t="shared" si="112"/>
        <v>0.18666666666666032</v>
      </c>
      <c r="E20" s="9">
        <f t="shared" si="0"/>
        <v>3.4844444444442076E-2</v>
      </c>
      <c r="F20" s="26"/>
      <c r="G20" s="29"/>
      <c r="I20" s="7"/>
      <c r="J20" s="14">
        <v>3.87</v>
      </c>
      <c r="K20" s="26"/>
      <c r="L20" s="9">
        <f t="shared" si="113"/>
        <v>-6.6666666666663765E-3</v>
      </c>
      <c r="M20" s="9">
        <f t="shared" si="1"/>
        <v>4.4444444444440577E-5</v>
      </c>
      <c r="N20" s="26"/>
      <c r="O20" s="29"/>
      <c r="Q20" s="7"/>
      <c r="R20" s="14">
        <v>18.489999999999998</v>
      </c>
      <c r="S20" s="26"/>
      <c r="T20" s="9">
        <f t="shared" si="114"/>
        <v>-2.9999999999997584E-2</v>
      </c>
      <c r="U20" s="9">
        <f t="shared" si="2"/>
        <v>8.9999999999985502E-4</v>
      </c>
      <c r="V20" s="26"/>
      <c r="W20" s="29"/>
      <c r="Y20" s="7"/>
      <c r="Z20" s="14"/>
      <c r="AA20" s="26"/>
      <c r="AB20" s="9">
        <f t="shared" si="115"/>
        <v>0</v>
      </c>
      <c r="AC20" s="9">
        <f t="shared" si="3"/>
        <v>0</v>
      </c>
      <c r="AD20" s="26"/>
      <c r="AE20" s="29"/>
      <c r="AG20" s="7"/>
      <c r="AH20" s="14"/>
      <c r="AI20" s="26"/>
      <c r="AJ20" s="9">
        <f t="shared" si="116"/>
        <v>0</v>
      </c>
      <c r="AK20" s="9">
        <f t="shared" si="4"/>
        <v>0</v>
      </c>
      <c r="AL20" s="26"/>
      <c r="AM20" s="29"/>
      <c r="AO20" s="7"/>
      <c r="AP20" s="14"/>
      <c r="AQ20" s="26"/>
      <c r="AR20" s="9">
        <f t="shared" si="117"/>
        <v>0</v>
      </c>
      <c r="AS20" s="9">
        <f t="shared" si="5"/>
        <v>0</v>
      </c>
      <c r="AT20" s="26"/>
      <c r="AU20" s="29"/>
    </row>
    <row r="21" spans="1:47" x14ac:dyDescent="0.2">
      <c r="A21" s="2">
        <v>7</v>
      </c>
      <c r="B21" s="15">
        <v>59.35</v>
      </c>
      <c r="C21" s="24">
        <f t="shared" ref="C21" si="118">(SUM(B21:B23)/3)</f>
        <v>60.03</v>
      </c>
      <c r="D21" s="4">
        <f>(B21-C$21)</f>
        <v>-0.67999999999999972</v>
      </c>
      <c r="E21" s="4">
        <f t="shared" si="0"/>
        <v>0.46239999999999959</v>
      </c>
      <c r="F21" s="24">
        <f t="shared" ref="F21" si="119">(SQRT(SUM(E21:E23)/2))</f>
        <v>0.5889821729050887</v>
      </c>
      <c r="G21" s="27">
        <f t="shared" ref="G21" si="120">((F21/C21)*100)</f>
        <v>0.981146381650989</v>
      </c>
      <c r="I21" s="2">
        <v>7</v>
      </c>
      <c r="J21" s="15">
        <v>4.97</v>
      </c>
      <c r="K21" s="24">
        <f t="shared" ref="K21" si="121">(SUM(J21:J23)/3)</f>
        <v>4.95</v>
      </c>
      <c r="L21" s="4">
        <f>(J21-K$21)</f>
        <v>1.9999999999999574E-2</v>
      </c>
      <c r="M21" s="4">
        <f t="shared" si="1"/>
        <v>3.9999999999998294E-4</v>
      </c>
      <c r="N21" s="24">
        <f t="shared" ref="N21" si="122">(SQRT(SUM(M21:M23)/2))</f>
        <v>3.4641016151377324E-2</v>
      </c>
      <c r="O21" s="27">
        <f t="shared" ref="O21" si="123">((N21/K21)*100)</f>
        <v>0.69981850810863278</v>
      </c>
      <c r="Q21" s="2">
        <v>7</v>
      </c>
      <c r="R21" s="15">
        <v>16.09</v>
      </c>
      <c r="S21" s="24">
        <f t="shared" ref="S21" si="124">(SUM(R21:R23)/3)</f>
        <v>16.236666666666668</v>
      </c>
      <c r="T21" s="4">
        <f>(R21-S$21)</f>
        <v>-0.14666666666666828</v>
      </c>
      <c r="U21" s="4">
        <f t="shared" si="2"/>
        <v>2.1511111111111585E-2</v>
      </c>
      <c r="V21" s="24">
        <f t="shared" ref="V21" si="125">(SQRT(SUM(U21:U23)/2))</f>
        <v>0.12741009902410963</v>
      </c>
      <c r="W21" s="27">
        <f t="shared" ref="W21" si="126">((V21/S21)*100)</f>
        <v>0.78470600918154143</v>
      </c>
      <c r="Y21" s="2">
        <v>7</v>
      </c>
      <c r="Z21" s="15"/>
      <c r="AA21" s="24">
        <f t="shared" ref="AA21" si="127">(SUM(Z21:Z23)/3)</f>
        <v>0</v>
      </c>
      <c r="AB21" s="4">
        <f>(Z21-AA$21)</f>
        <v>0</v>
      </c>
      <c r="AC21" s="4">
        <f t="shared" si="3"/>
        <v>0</v>
      </c>
      <c r="AD21" s="24">
        <f t="shared" ref="AD21" si="128">(SQRT(SUM(AC21:AC23)/2))</f>
        <v>0</v>
      </c>
      <c r="AE21" s="27" t="e">
        <f t="shared" ref="AE21" si="129">((AD21/AA21)*100)</f>
        <v>#DIV/0!</v>
      </c>
      <c r="AG21" s="2">
        <v>7</v>
      </c>
      <c r="AH21" s="15"/>
      <c r="AI21" s="24">
        <f t="shared" ref="AI21" si="130">(SUM(AH21:AH23)/3)</f>
        <v>0</v>
      </c>
      <c r="AJ21" s="4">
        <f>(AH21-AI$21)</f>
        <v>0</v>
      </c>
      <c r="AK21" s="4">
        <f t="shared" si="4"/>
        <v>0</v>
      </c>
      <c r="AL21" s="24">
        <f t="shared" ref="AL21" si="131">(SQRT(SUM(AK21:AK23)/2))</f>
        <v>0</v>
      </c>
      <c r="AM21" s="27" t="e">
        <f t="shared" ref="AM21" si="132">((AL21/AI21)*100)</f>
        <v>#DIV/0!</v>
      </c>
      <c r="AO21" s="2">
        <v>7</v>
      </c>
      <c r="AP21" s="15"/>
      <c r="AQ21" s="24">
        <f t="shared" ref="AQ21" si="133">(SUM(AP21:AP23)/3)</f>
        <v>0</v>
      </c>
      <c r="AR21" s="4">
        <f>(AP21-AQ$21)</f>
        <v>0</v>
      </c>
      <c r="AS21" s="4">
        <f t="shared" si="5"/>
        <v>0</v>
      </c>
      <c r="AT21" s="24">
        <f t="shared" ref="AT21" si="134">(SQRT(SUM(AS21:AS23)/2))</f>
        <v>0</v>
      </c>
      <c r="AU21" s="27" t="e">
        <f t="shared" ref="AU21" si="135">((AT21/AQ21)*100)</f>
        <v>#DIV/0!</v>
      </c>
    </row>
    <row r="22" spans="1:47" x14ac:dyDescent="0.2">
      <c r="A22" s="5"/>
      <c r="B22" s="13">
        <v>60.36</v>
      </c>
      <c r="C22" s="25"/>
      <c r="D22">
        <f t="shared" ref="D22:D23" si="136">(B22-C$21)</f>
        <v>0.32999999999999829</v>
      </c>
      <c r="E22">
        <f t="shared" si="0"/>
        <v>0.10889999999999887</v>
      </c>
      <c r="F22" s="25"/>
      <c r="G22" s="28"/>
      <c r="I22" s="5"/>
      <c r="J22" s="13">
        <v>4.97</v>
      </c>
      <c r="K22" s="25"/>
      <c r="L22">
        <f t="shared" ref="L22:L23" si="137">(J22-K$21)</f>
        <v>1.9999999999999574E-2</v>
      </c>
      <c r="M22">
        <f t="shared" si="1"/>
        <v>3.9999999999998294E-4</v>
      </c>
      <c r="N22" s="25"/>
      <c r="O22" s="28"/>
      <c r="Q22" s="5"/>
      <c r="R22" s="18">
        <v>16.3</v>
      </c>
      <c r="S22" s="25"/>
      <c r="T22">
        <f t="shared" ref="T22:T23" si="138">(R22-S$21)</f>
        <v>6.3333333333332575E-2</v>
      </c>
      <c r="U22">
        <f t="shared" si="2"/>
        <v>4.0111111111110148E-3</v>
      </c>
      <c r="V22" s="25"/>
      <c r="W22" s="28"/>
      <c r="Y22" s="5"/>
      <c r="Z22" s="13"/>
      <c r="AA22" s="25"/>
      <c r="AB22">
        <f t="shared" ref="AB22:AB23" si="139">(Z22-AA$21)</f>
        <v>0</v>
      </c>
      <c r="AC22">
        <f t="shared" si="3"/>
        <v>0</v>
      </c>
      <c r="AD22" s="25"/>
      <c r="AE22" s="28"/>
      <c r="AG22" s="5"/>
      <c r="AH22" s="13"/>
      <c r="AI22" s="25"/>
      <c r="AJ22">
        <f t="shared" ref="AJ22:AJ23" si="140">(AH22-AI$21)</f>
        <v>0</v>
      </c>
      <c r="AK22">
        <f t="shared" si="4"/>
        <v>0</v>
      </c>
      <c r="AL22" s="25"/>
      <c r="AM22" s="28"/>
      <c r="AO22" s="5"/>
      <c r="AP22" s="13"/>
      <c r="AQ22" s="25"/>
      <c r="AR22">
        <f t="shared" ref="AR22:AR23" si="141">(AP22-AQ$21)</f>
        <v>0</v>
      </c>
      <c r="AS22">
        <f t="shared" si="5"/>
        <v>0</v>
      </c>
      <c r="AT22" s="25"/>
      <c r="AU22" s="28"/>
    </row>
    <row r="23" spans="1:47" x14ac:dyDescent="0.2">
      <c r="A23" s="7"/>
      <c r="B23" s="14">
        <v>60.38</v>
      </c>
      <c r="C23" s="26"/>
      <c r="D23" s="9">
        <f t="shared" si="136"/>
        <v>0.35000000000000142</v>
      </c>
      <c r="E23" s="9">
        <f t="shared" si="0"/>
        <v>0.122500000000001</v>
      </c>
      <c r="F23" s="26"/>
      <c r="G23" s="29"/>
      <c r="I23" s="7"/>
      <c r="J23" s="14">
        <v>4.91</v>
      </c>
      <c r="K23" s="26"/>
      <c r="L23" s="9">
        <f t="shared" si="137"/>
        <v>-4.0000000000000036E-2</v>
      </c>
      <c r="M23" s="9">
        <f t="shared" si="1"/>
        <v>1.6000000000000029E-3</v>
      </c>
      <c r="N23" s="26"/>
      <c r="O23" s="29"/>
      <c r="Q23" s="7"/>
      <c r="R23" s="14">
        <v>16.32</v>
      </c>
      <c r="S23" s="26"/>
      <c r="T23" s="9">
        <f t="shared" si="138"/>
        <v>8.3333333333332149E-2</v>
      </c>
      <c r="U23" s="9">
        <f t="shared" si="2"/>
        <v>6.9444444444442472E-3</v>
      </c>
      <c r="V23" s="26"/>
      <c r="W23" s="29"/>
      <c r="Y23" s="7"/>
      <c r="Z23" s="14"/>
      <c r="AA23" s="26"/>
      <c r="AB23" s="9">
        <f t="shared" si="139"/>
        <v>0</v>
      </c>
      <c r="AC23" s="9">
        <f t="shared" si="3"/>
        <v>0</v>
      </c>
      <c r="AD23" s="26"/>
      <c r="AE23" s="29"/>
      <c r="AG23" s="7"/>
      <c r="AH23" s="14"/>
      <c r="AI23" s="26"/>
      <c r="AJ23" s="9">
        <f t="shared" si="140"/>
        <v>0</v>
      </c>
      <c r="AK23" s="9">
        <f t="shared" si="4"/>
        <v>0</v>
      </c>
      <c r="AL23" s="26"/>
      <c r="AM23" s="29"/>
      <c r="AO23" s="7"/>
      <c r="AP23" s="14"/>
      <c r="AQ23" s="26"/>
      <c r="AR23" s="9">
        <f t="shared" si="141"/>
        <v>0</v>
      </c>
      <c r="AS23" s="9">
        <f t="shared" si="5"/>
        <v>0</v>
      </c>
      <c r="AT23" s="26"/>
      <c r="AU23" s="29"/>
    </row>
    <row r="24" spans="1:47" x14ac:dyDescent="0.2">
      <c r="A24" s="2">
        <v>8</v>
      </c>
      <c r="B24" s="15">
        <v>57.64</v>
      </c>
      <c r="C24" s="24">
        <f t="shared" ref="C24" si="142">(SUM(B24:B26)/3)</f>
        <v>58.29</v>
      </c>
      <c r="D24" s="4">
        <f>(B24-C$24)</f>
        <v>-0.64999999999999858</v>
      </c>
      <c r="E24" s="4">
        <f t="shared" si="0"/>
        <v>0.42249999999999815</v>
      </c>
      <c r="F24" s="24">
        <f t="shared" ref="F24" si="143">(SQRT(SUM(E24:E26)/2))</f>
        <v>0.57262553208881517</v>
      </c>
      <c r="G24" s="27">
        <f t="shared" ref="G24" si="144">((F24/C24)*100)</f>
        <v>0.98237353249067627</v>
      </c>
      <c r="I24" s="2">
        <v>8</v>
      </c>
      <c r="J24" s="15">
        <v>5.92</v>
      </c>
      <c r="K24" s="24">
        <f t="shared" ref="K24" si="145">(SUM(J24:J26)/3)</f>
        <v>5.84</v>
      </c>
      <c r="L24" s="4">
        <f>(J24-K$24)</f>
        <v>8.0000000000000071E-2</v>
      </c>
      <c r="M24" s="4">
        <f t="shared" si="1"/>
        <v>6.4000000000000116E-3</v>
      </c>
      <c r="N24" s="24">
        <f t="shared" ref="N24" si="146">(SQRT(SUM(M24:M26)/2))</f>
        <v>9.8488578017960807E-2</v>
      </c>
      <c r="O24" s="27">
        <f t="shared" ref="O24" si="147">((N24/K24)*100)</f>
        <v>1.6864482537322054</v>
      </c>
      <c r="Q24" s="2">
        <v>8</v>
      </c>
      <c r="R24" s="15">
        <v>16.22</v>
      </c>
      <c r="S24" s="24">
        <f t="shared" ref="S24" si="148">(SUM(R24:R26)/3)</f>
        <v>16.41333333333333</v>
      </c>
      <c r="T24" s="4">
        <f>(R24-S$24)</f>
        <v>-0.19333333333333158</v>
      </c>
      <c r="U24" s="4">
        <f t="shared" si="2"/>
        <v>3.7377777777777101E-2</v>
      </c>
      <c r="V24" s="24">
        <f t="shared" ref="V24" si="149">(SQRT(SUM(U24:U26)/2))</f>
        <v>0.36115555282084832</v>
      </c>
      <c r="W24" s="27">
        <f t="shared" ref="W24" si="150">((V24/S24)*100)</f>
        <v>2.2003790789247466</v>
      </c>
      <c r="Y24" s="2">
        <v>8</v>
      </c>
      <c r="Z24" s="15"/>
      <c r="AA24" s="24">
        <f t="shared" ref="AA24" si="151">(SUM(Z24:Z26)/3)</f>
        <v>0</v>
      </c>
      <c r="AB24" s="4">
        <f>(Z24-AA$24)</f>
        <v>0</v>
      </c>
      <c r="AC24" s="4">
        <f t="shared" si="3"/>
        <v>0</v>
      </c>
      <c r="AD24" s="24">
        <f t="shared" ref="AD24" si="152">(SQRT(SUM(AC24:AC26)/2))</f>
        <v>0</v>
      </c>
      <c r="AE24" s="27" t="e">
        <f t="shared" ref="AE24" si="153">((AD24/AA24)*100)</f>
        <v>#DIV/0!</v>
      </c>
      <c r="AG24" s="2">
        <v>8</v>
      </c>
      <c r="AH24" s="15"/>
      <c r="AI24" s="24">
        <f t="shared" ref="AI24" si="154">(SUM(AH24:AH26)/3)</f>
        <v>0</v>
      </c>
      <c r="AJ24" s="4">
        <f>(AH24-AI$24)</f>
        <v>0</v>
      </c>
      <c r="AK24" s="4">
        <f t="shared" si="4"/>
        <v>0</v>
      </c>
      <c r="AL24" s="24">
        <f t="shared" ref="AL24" si="155">(SQRT(SUM(AK24:AK26)/2))</f>
        <v>0</v>
      </c>
      <c r="AM24" s="27" t="e">
        <f t="shared" ref="AM24" si="156">((AL24/AI24)*100)</f>
        <v>#DIV/0!</v>
      </c>
      <c r="AO24" s="2">
        <v>8</v>
      </c>
      <c r="AP24" s="15"/>
      <c r="AQ24" s="24">
        <f t="shared" ref="AQ24" si="157">(SUM(AP24:AP26)/3)</f>
        <v>0</v>
      </c>
      <c r="AR24" s="4">
        <f>(AP24-AQ$24)</f>
        <v>0</v>
      </c>
      <c r="AS24" s="4">
        <f t="shared" si="5"/>
        <v>0</v>
      </c>
      <c r="AT24" s="24">
        <f t="shared" ref="AT24" si="158">(SQRT(SUM(AS24:AS26)/2))</f>
        <v>0</v>
      </c>
      <c r="AU24" s="27" t="e">
        <f t="shared" ref="AU24" si="159">((AT24/AQ24)*100)</f>
        <v>#DIV/0!</v>
      </c>
    </row>
    <row r="25" spans="1:47" x14ac:dyDescent="0.2">
      <c r="A25" s="5"/>
      <c r="B25" s="13">
        <v>58.51</v>
      </c>
      <c r="C25" s="25"/>
      <c r="D25">
        <f t="shared" ref="D25:D26" si="160">(B25-C$24)</f>
        <v>0.21999999999999886</v>
      </c>
      <c r="E25">
        <f t="shared" si="0"/>
        <v>4.8399999999999499E-2</v>
      </c>
      <c r="F25" s="25"/>
      <c r="G25" s="28"/>
      <c r="I25" s="5"/>
      <c r="J25" s="13">
        <v>5.87</v>
      </c>
      <c r="K25" s="25"/>
      <c r="L25">
        <f t="shared" ref="L25:L26" si="161">(J25-K$24)</f>
        <v>3.0000000000000249E-2</v>
      </c>
      <c r="M25">
        <f t="shared" si="1"/>
        <v>9.0000000000001494E-4</v>
      </c>
      <c r="N25" s="25"/>
      <c r="O25" s="28"/>
      <c r="Q25" s="5"/>
      <c r="R25" s="13">
        <v>16.190000000000001</v>
      </c>
      <c r="S25" s="25"/>
      <c r="T25">
        <f t="shared" ref="T25:T26" si="162">(R25-S$24)</f>
        <v>-0.22333333333332916</v>
      </c>
      <c r="U25">
        <f t="shared" si="2"/>
        <v>4.9877777777775918E-2</v>
      </c>
      <c r="V25" s="25"/>
      <c r="W25" s="28"/>
      <c r="Y25" s="5"/>
      <c r="Z25" s="13"/>
      <c r="AA25" s="25"/>
      <c r="AB25">
        <f t="shared" ref="AB25:AB26" si="163">(Z25-AA$24)</f>
        <v>0</v>
      </c>
      <c r="AC25">
        <f t="shared" si="3"/>
        <v>0</v>
      </c>
      <c r="AD25" s="25"/>
      <c r="AE25" s="28"/>
      <c r="AG25" s="5"/>
      <c r="AH25" s="13"/>
      <c r="AI25" s="25"/>
      <c r="AJ25">
        <f t="shared" ref="AJ25:AJ26" si="164">(AH25-AI$24)</f>
        <v>0</v>
      </c>
      <c r="AK25">
        <f t="shared" si="4"/>
        <v>0</v>
      </c>
      <c r="AL25" s="25"/>
      <c r="AM25" s="28"/>
      <c r="AO25" s="5"/>
      <c r="AP25" s="13"/>
      <c r="AQ25" s="25"/>
      <c r="AR25">
        <f t="shared" ref="AR25:AR26" si="165">(AP25-AQ$24)</f>
        <v>0</v>
      </c>
      <c r="AS25">
        <f t="shared" si="5"/>
        <v>0</v>
      </c>
      <c r="AT25" s="25"/>
      <c r="AU25" s="28"/>
    </row>
    <row r="26" spans="1:47" x14ac:dyDescent="0.2">
      <c r="A26" s="7"/>
      <c r="B26" s="14">
        <v>58.72</v>
      </c>
      <c r="C26" s="26"/>
      <c r="D26" s="9">
        <f t="shared" si="160"/>
        <v>0.42999999999999972</v>
      </c>
      <c r="E26" s="9">
        <f t="shared" si="0"/>
        <v>0.18489999999999976</v>
      </c>
      <c r="F26" s="26"/>
      <c r="G26" s="29"/>
      <c r="I26" s="7"/>
      <c r="J26" s="14">
        <v>5.73</v>
      </c>
      <c r="K26" s="26"/>
      <c r="L26" s="9">
        <f t="shared" si="161"/>
        <v>-0.10999999999999943</v>
      </c>
      <c r="M26" s="9">
        <f t="shared" si="1"/>
        <v>1.2099999999999875E-2</v>
      </c>
      <c r="N26" s="26"/>
      <c r="O26" s="29"/>
      <c r="Q26" s="7"/>
      <c r="R26" s="14">
        <v>16.829999999999998</v>
      </c>
      <c r="S26" s="26"/>
      <c r="T26" s="9">
        <f t="shared" si="162"/>
        <v>0.41666666666666785</v>
      </c>
      <c r="U26" s="9">
        <f t="shared" si="2"/>
        <v>0.1736111111111121</v>
      </c>
      <c r="V26" s="26"/>
      <c r="W26" s="29"/>
      <c r="Y26" s="7"/>
      <c r="Z26" s="14"/>
      <c r="AA26" s="26"/>
      <c r="AB26" s="9">
        <f t="shared" si="163"/>
        <v>0</v>
      </c>
      <c r="AC26" s="9">
        <f t="shared" si="3"/>
        <v>0</v>
      </c>
      <c r="AD26" s="26"/>
      <c r="AE26" s="29"/>
      <c r="AG26" s="7"/>
      <c r="AH26" s="14"/>
      <c r="AI26" s="26"/>
      <c r="AJ26" s="9">
        <f t="shared" si="164"/>
        <v>0</v>
      </c>
      <c r="AK26" s="9">
        <f t="shared" si="4"/>
        <v>0</v>
      </c>
      <c r="AL26" s="26"/>
      <c r="AM26" s="29"/>
      <c r="AO26" s="7"/>
      <c r="AP26" s="14"/>
      <c r="AQ26" s="26"/>
      <c r="AR26" s="9">
        <f t="shared" si="165"/>
        <v>0</v>
      </c>
      <c r="AS26" s="9">
        <f t="shared" si="5"/>
        <v>0</v>
      </c>
      <c r="AT26" s="26"/>
      <c r="AU26" s="29"/>
    </row>
    <row r="27" spans="1:47" x14ac:dyDescent="0.2">
      <c r="A27" s="2">
        <v>9</v>
      </c>
      <c r="B27" s="16">
        <v>57.6</v>
      </c>
      <c r="C27" s="24">
        <f t="shared" ref="C27" si="166">(SUM(B27:B29)/3)</f>
        <v>58.146666666666668</v>
      </c>
      <c r="D27" s="4">
        <f>(B27-C$27)</f>
        <v>-0.54666666666666686</v>
      </c>
      <c r="E27" s="4">
        <f t="shared" si="0"/>
        <v>0.29884444444444463</v>
      </c>
      <c r="F27" s="24">
        <f t="shared" ref="F27" si="167">(SQRT(SUM(E27:E29)/2))</f>
        <v>0.53078558131634546</v>
      </c>
      <c r="G27" s="27">
        <f t="shared" ref="G27" si="168">((F27/C27)*100)</f>
        <v>0.91283922491919078</v>
      </c>
      <c r="I27" s="2">
        <v>9</v>
      </c>
      <c r="J27" s="15">
        <v>6.51</v>
      </c>
      <c r="K27" s="24">
        <f t="shared" ref="K27" si="169">(SUM(J27:J29)/3)</f>
        <v>6.336666666666666</v>
      </c>
      <c r="L27" s="4">
        <f>(J27-K$27)</f>
        <v>0.17333333333333378</v>
      </c>
      <c r="M27" s="4">
        <f t="shared" si="1"/>
        <v>3.0044444444444599E-2</v>
      </c>
      <c r="N27" s="24">
        <f t="shared" ref="N27" si="170">(SQRT(SUM(M27:M29)/2))</f>
        <v>0.17502380790433417</v>
      </c>
      <c r="O27" s="27">
        <f t="shared" ref="O27" si="171">((N27/K27)*100)</f>
        <v>2.7620800826565097</v>
      </c>
      <c r="Q27" s="2">
        <v>9</v>
      </c>
      <c r="R27" s="15">
        <v>16.27</v>
      </c>
      <c r="S27" s="24">
        <f t="shared" ref="S27" si="172">(SUM(R27:R29)/3)</f>
        <v>16.246666666666666</v>
      </c>
      <c r="T27" s="4">
        <f>(R27-S$27)</f>
        <v>2.3333333333333428E-2</v>
      </c>
      <c r="U27" s="4">
        <f t="shared" si="2"/>
        <v>5.4444444444444885E-4</v>
      </c>
      <c r="V27" s="24">
        <f t="shared" ref="V27" si="173">(SQRT(SUM(U27:U29)/2))</f>
        <v>0.1464012750399846</v>
      </c>
      <c r="W27" s="27">
        <f t="shared" ref="W27" si="174">((V27/S27)*100)</f>
        <v>0.90111576758299916</v>
      </c>
      <c r="Y27" s="2">
        <v>9</v>
      </c>
      <c r="Z27" s="15"/>
      <c r="AA27" s="24">
        <f t="shared" ref="AA27" si="175">(SUM(Z27:Z29)/3)</f>
        <v>0</v>
      </c>
      <c r="AB27" s="4">
        <f>(Z27-AA$27)</f>
        <v>0</v>
      </c>
      <c r="AC27" s="4">
        <f t="shared" si="3"/>
        <v>0</v>
      </c>
      <c r="AD27" s="24">
        <f t="shared" ref="AD27" si="176">(SQRT(SUM(AC27:AC29)/2))</f>
        <v>0</v>
      </c>
      <c r="AE27" s="27" t="e">
        <f t="shared" ref="AE27" si="177">((AD27/AA27)*100)</f>
        <v>#DIV/0!</v>
      </c>
      <c r="AG27" s="2">
        <v>9</v>
      </c>
      <c r="AH27" s="15"/>
      <c r="AI27" s="24">
        <f t="shared" ref="AI27" si="178">(SUM(AH27:AH29)/3)</f>
        <v>0</v>
      </c>
      <c r="AJ27" s="4">
        <f>(AH27-AI$27)</f>
        <v>0</v>
      </c>
      <c r="AK27" s="4">
        <f t="shared" si="4"/>
        <v>0</v>
      </c>
      <c r="AL27" s="24">
        <f t="shared" ref="AL27" si="179">(SQRT(SUM(AK27:AK29)/2))</f>
        <v>0</v>
      </c>
      <c r="AM27" s="27" t="e">
        <f t="shared" ref="AM27" si="180">((AL27/AI27)*100)</f>
        <v>#DIV/0!</v>
      </c>
      <c r="AO27" s="2">
        <v>9</v>
      </c>
      <c r="AP27" s="15"/>
      <c r="AQ27" s="24">
        <f t="shared" ref="AQ27" si="181">(SUM(AP27:AP29)/3)</f>
        <v>0</v>
      </c>
      <c r="AR27" s="4">
        <f>(AP27-AQ$27)</f>
        <v>0</v>
      </c>
      <c r="AS27" s="4">
        <f t="shared" si="5"/>
        <v>0</v>
      </c>
      <c r="AT27" s="24">
        <f t="shared" ref="AT27" si="182">(SQRT(SUM(AS27:AS29)/2))</f>
        <v>0</v>
      </c>
      <c r="AU27" s="27" t="e">
        <f t="shared" ref="AU27" si="183">((AT27/AQ27)*100)</f>
        <v>#DIV/0!</v>
      </c>
    </row>
    <row r="28" spans="1:47" x14ac:dyDescent="0.2">
      <c r="A28" s="5"/>
      <c r="B28" s="13">
        <v>58.66</v>
      </c>
      <c r="C28" s="25"/>
      <c r="D28">
        <f t="shared" ref="D28:D29" si="184">(B28-C$27)</f>
        <v>0.51333333333332831</v>
      </c>
      <c r="E28">
        <f t="shared" si="0"/>
        <v>0.26351111111110598</v>
      </c>
      <c r="F28" s="25"/>
      <c r="G28" s="28"/>
      <c r="I28" s="5"/>
      <c r="J28" s="13">
        <v>6.16</v>
      </c>
      <c r="K28" s="25"/>
      <c r="L28">
        <f t="shared" ref="L28:L29" si="185">(J28-K$27)</f>
        <v>-0.17666666666666586</v>
      </c>
      <c r="M28">
        <f t="shared" si="1"/>
        <v>3.1211111111110825E-2</v>
      </c>
      <c r="N28" s="25"/>
      <c r="O28" s="28"/>
      <c r="Q28" s="5"/>
      <c r="R28" s="13">
        <v>16.09</v>
      </c>
      <c r="S28" s="25"/>
      <c r="T28">
        <f t="shared" ref="T28:T29" si="186">(R28-S$27)</f>
        <v>-0.15666666666666629</v>
      </c>
      <c r="U28">
        <f t="shared" si="2"/>
        <v>2.4544444444444327E-2</v>
      </c>
      <c r="V28" s="25"/>
      <c r="W28" s="28"/>
      <c r="Y28" s="5"/>
      <c r="Z28" s="13"/>
      <c r="AA28" s="25"/>
      <c r="AB28">
        <f t="shared" ref="AB28:AB29" si="187">(Z28-AA$27)</f>
        <v>0</v>
      </c>
      <c r="AC28">
        <f t="shared" si="3"/>
        <v>0</v>
      </c>
      <c r="AD28" s="25"/>
      <c r="AE28" s="28"/>
      <c r="AG28" s="5"/>
      <c r="AH28" s="13"/>
      <c r="AI28" s="25"/>
      <c r="AJ28">
        <f t="shared" ref="AJ28:AJ29" si="188">(AH28-AI$27)</f>
        <v>0</v>
      </c>
      <c r="AK28">
        <f t="shared" si="4"/>
        <v>0</v>
      </c>
      <c r="AL28" s="25"/>
      <c r="AM28" s="28"/>
      <c r="AO28" s="5"/>
      <c r="AP28" s="13"/>
      <c r="AQ28" s="25"/>
      <c r="AR28">
        <f t="shared" ref="AR28:AR29" si="189">(AP28-AQ$27)</f>
        <v>0</v>
      </c>
      <c r="AS28">
        <f t="shared" si="5"/>
        <v>0</v>
      </c>
      <c r="AT28" s="25"/>
      <c r="AU28" s="28"/>
    </row>
    <row r="29" spans="1:47" x14ac:dyDescent="0.2">
      <c r="A29" s="7"/>
      <c r="B29" s="14">
        <v>58.18</v>
      </c>
      <c r="C29" s="26"/>
      <c r="D29" s="9">
        <f t="shared" si="184"/>
        <v>3.3333333333331439E-2</v>
      </c>
      <c r="E29" s="9">
        <f t="shared" si="0"/>
        <v>1.1111111111109847E-3</v>
      </c>
      <c r="F29" s="26"/>
      <c r="G29" s="29"/>
      <c r="I29" s="7"/>
      <c r="J29" s="14">
        <v>6.34</v>
      </c>
      <c r="K29" s="26"/>
      <c r="L29" s="9">
        <f t="shared" si="185"/>
        <v>3.3333333333338544E-3</v>
      </c>
      <c r="M29" s="9">
        <f t="shared" si="1"/>
        <v>1.1111111111114584E-5</v>
      </c>
      <c r="N29" s="26"/>
      <c r="O29" s="29"/>
      <c r="Q29" s="7"/>
      <c r="R29" s="14">
        <v>16.38</v>
      </c>
      <c r="S29" s="26"/>
      <c r="T29" s="9">
        <f t="shared" si="186"/>
        <v>0.13333333333333286</v>
      </c>
      <c r="U29" s="9">
        <f t="shared" si="2"/>
        <v>1.7777777777777653E-2</v>
      </c>
      <c r="V29" s="26"/>
      <c r="W29" s="29"/>
      <c r="Y29" s="7"/>
      <c r="Z29" s="14"/>
      <c r="AA29" s="26"/>
      <c r="AB29" s="9">
        <f t="shared" si="187"/>
        <v>0</v>
      </c>
      <c r="AC29" s="9">
        <f t="shared" si="3"/>
        <v>0</v>
      </c>
      <c r="AD29" s="26"/>
      <c r="AE29" s="29"/>
      <c r="AG29" s="7"/>
      <c r="AH29" s="14"/>
      <c r="AI29" s="26"/>
      <c r="AJ29" s="9">
        <f t="shared" si="188"/>
        <v>0</v>
      </c>
      <c r="AK29" s="9">
        <f t="shared" si="4"/>
        <v>0</v>
      </c>
      <c r="AL29" s="26"/>
      <c r="AM29" s="29"/>
      <c r="AO29" s="7"/>
      <c r="AP29" s="14"/>
      <c r="AQ29" s="26"/>
      <c r="AR29" s="9">
        <f t="shared" si="189"/>
        <v>0</v>
      </c>
      <c r="AS29" s="9">
        <f t="shared" si="5"/>
        <v>0</v>
      </c>
      <c r="AT29" s="26"/>
      <c r="AU29" s="29"/>
    </row>
    <row r="30" spans="1:47" x14ac:dyDescent="0.2">
      <c r="A30">
        <v>0</v>
      </c>
      <c r="B30">
        <v>62.05</v>
      </c>
      <c r="I30">
        <v>0</v>
      </c>
      <c r="J30">
        <v>3.8</v>
      </c>
      <c r="Q30">
        <v>0</v>
      </c>
      <c r="R30">
        <v>17.18</v>
      </c>
    </row>
    <row r="31" spans="1:47" x14ac:dyDescent="0.2">
      <c r="A31">
        <v>0</v>
      </c>
      <c r="B31">
        <v>62.15</v>
      </c>
      <c r="I31">
        <v>0</v>
      </c>
      <c r="J31">
        <v>3.77</v>
      </c>
      <c r="Q31">
        <v>0</v>
      </c>
      <c r="R31">
        <v>17.21</v>
      </c>
    </row>
    <row r="32" spans="1:47" x14ac:dyDescent="0.2">
      <c r="A32">
        <v>0</v>
      </c>
      <c r="B32">
        <v>62.13</v>
      </c>
      <c r="I32">
        <v>0</v>
      </c>
      <c r="J32">
        <v>3.82</v>
      </c>
      <c r="Q32">
        <v>0</v>
      </c>
      <c r="R32">
        <v>17.190000000000001</v>
      </c>
    </row>
  </sheetData>
  <mergeCells count="168">
    <mergeCell ref="A1:G1"/>
    <mergeCell ref="I1:O1"/>
    <mergeCell ref="Q1:W1"/>
    <mergeCell ref="Y1:AE1"/>
    <mergeCell ref="AG1:AM1"/>
    <mergeCell ref="AO1:AU1"/>
    <mergeCell ref="C27:C29"/>
    <mergeCell ref="C6:C8"/>
    <mergeCell ref="C21:C23"/>
    <mergeCell ref="C15:C17"/>
    <mergeCell ref="C9:C11"/>
    <mergeCell ref="F27:F29"/>
    <mergeCell ref="AA3:AA5"/>
    <mergeCell ref="W21:W23"/>
    <mergeCell ref="AA6:AA8"/>
    <mergeCell ref="AA18:AA20"/>
    <mergeCell ref="AA15:AA17"/>
    <mergeCell ref="AA12:AA14"/>
    <mergeCell ref="AA9:AA11"/>
    <mergeCell ref="AA24:AA26"/>
    <mergeCell ref="AA27:AA29"/>
    <mergeCell ref="AL27:AL29"/>
    <mergeCell ref="AI15:AI17"/>
    <mergeCell ref="AI12:AI14"/>
    <mergeCell ref="AI24:AI26"/>
    <mergeCell ref="AI18:AI20"/>
    <mergeCell ref="AI21:AI23"/>
    <mergeCell ref="V12:V14"/>
    <mergeCell ref="AD6:AD8"/>
    <mergeCell ref="AD18:AD20"/>
    <mergeCell ref="AD24:AD26"/>
    <mergeCell ref="AE6:AE8"/>
    <mergeCell ref="AE12:AE14"/>
    <mergeCell ref="AD15:AD17"/>
    <mergeCell ref="AD9:AD11"/>
    <mergeCell ref="AE24:AE26"/>
    <mergeCell ref="AE27:AE29"/>
    <mergeCell ref="AD21:AD23"/>
    <mergeCell ref="AL6:AL8"/>
    <mergeCell ref="AL21:AL23"/>
    <mergeCell ref="AL24:AL26"/>
    <mergeCell ref="AE21:AE23"/>
    <mergeCell ref="AD12:AD14"/>
    <mergeCell ref="AE18:AE20"/>
    <mergeCell ref="AE9:AE11"/>
    <mergeCell ref="K27:K29"/>
    <mergeCell ref="G21:G23"/>
    <mergeCell ref="K6:K8"/>
    <mergeCell ref="G3:G5"/>
    <mergeCell ref="C12:C14"/>
    <mergeCell ref="F21:F23"/>
    <mergeCell ref="G6:G8"/>
    <mergeCell ref="K24:K26"/>
    <mergeCell ref="K21:K23"/>
    <mergeCell ref="K9:K11"/>
    <mergeCell ref="K12:K14"/>
    <mergeCell ref="K15:K17"/>
    <mergeCell ref="F15:F17"/>
    <mergeCell ref="F18:F20"/>
    <mergeCell ref="G9:G11"/>
    <mergeCell ref="G18:G20"/>
    <mergeCell ref="G15:G17"/>
    <mergeCell ref="F9:F11"/>
    <mergeCell ref="F12:F14"/>
    <mergeCell ref="G24:G26"/>
    <mergeCell ref="G27:G29"/>
    <mergeCell ref="AI6:AI8"/>
    <mergeCell ref="AL3:AL5"/>
    <mergeCell ref="AT18:AT20"/>
    <mergeCell ref="AT15:AT17"/>
    <mergeCell ref="AQ6:AQ8"/>
    <mergeCell ref="AT9:AT11"/>
    <mergeCell ref="AT6:AT8"/>
    <mergeCell ref="AU15:AU17"/>
    <mergeCell ref="AU18:AU20"/>
    <mergeCell ref="AI3:AI5"/>
    <mergeCell ref="AU27:AU29"/>
    <mergeCell ref="AQ21:AQ23"/>
    <mergeCell ref="AT24:AT26"/>
    <mergeCell ref="AQ27:AQ29"/>
    <mergeCell ref="AQ24:AQ26"/>
    <mergeCell ref="AE3:AE5"/>
    <mergeCell ref="AL15:AL17"/>
    <mergeCell ref="AM6:AM8"/>
    <mergeCell ref="AT21:AT23"/>
    <mergeCell ref="AQ3:AQ5"/>
    <mergeCell ref="AM15:AM17"/>
    <mergeCell ref="AU21:AU23"/>
    <mergeCell ref="AT3:AT5"/>
    <mergeCell ref="AI9:AI11"/>
    <mergeCell ref="AT12:AT14"/>
    <mergeCell ref="AU3:AU5"/>
    <mergeCell ref="AU6:AU8"/>
    <mergeCell ref="AU9:AU11"/>
    <mergeCell ref="AU12:AU14"/>
    <mergeCell ref="AM27:AM29"/>
    <mergeCell ref="AQ12:AQ14"/>
    <mergeCell ref="AL9:AL11"/>
    <mergeCell ref="AE15:AE17"/>
    <mergeCell ref="AI27:AI29"/>
    <mergeCell ref="V27:V29"/>
    <mergeCell ref="V18:V20"/>
    <mergeCell ref="W3:W5"/>
    <mergeCell ref="W18:W20"/>
    <mergeCell ref="V15:V17"/>
    <mergeCell ref="W12:W14"/>
    <mergeCell ref="W15:W17"/>
    <mergeCell ref="N18:N20"/>
    <mergeCell ref="V9:V11"/>
    <mergeCell ref="V21:V23"/>
    <mergeCell ref="S6:S8"/>
    <mergeCell ref="O24:O26"/>
    <mergeCell ref="O27:O29"/>
    <mergeCell ref="S9:S11"/>
    <mergeCell ref="S21:S23"/>
    <mergeCell ref="S18:S20"/>
    <mergeCell ref="S15:S17"/>
    <mergeCell ref="S12:S14"/>
    <mergeCell ref="S27:S29"/>
    <mergeCell ref="V3:V5"/>
    <mergeCell ref="S3:S5"/>
    <mergeCell ref="O21:O23"/>
    <mergeCell ref="O15:O17"/>
    <mergeCell ref="O12:O14"/>
    <mergeCell ref="N27:N29"/>
    <mergeCell ref="AA21:AA23"/>
    <mergeCell ref="AD3:AD5"/>
    <mergeCell ref="AD27:AD29"/>
    <mergeCell ref="AL18:AL20"/>
    <mergeCell ref="AT27:AT29"/>
    <mergeCell ref="AQ9:AQ11"/>
    <mergeCell ref="AU24:AU26"/>
    <mergeCell ref="V24:V26"/>
    <mergeCell ref="W9:W11"/>
    <mergeCell ref="V6:V8"/>
    <mergeCell ref="W24:W26"/>
    <mergeCell ref="W27:W29"/>
    <mergeCell ref="AM21:AM23"/>
    <mergeCell ref="AQ15:AQ17"/>
    <mergeCell ref="AM9:AM11"/>
    <mergeCell ref="AQ18:AQ20"/>
    <mergeCell ref="AM18:AM20"/>
    <mergeCell ref="AM12:AM14"/>
    <mergeCell ref="AM3:AM5"/>
    <mergeCell ref="AL12:AL14"/>
    <mergeCell ref="AM24:AM26"/>
    <mergeCell ref="S24:S26"/>
    <mergeCell ref="W6:W8"/>
    <mergeCell ref="O3:O5"/>
    <mergeCell ref="N21:N23"/>
    <mergeCell ref="N24:N26"/>
    <mergeCell ref="N9:N11"/>
    <mergeCell ref="N12:N14"/>
    <mergeCell ref="N15:N17"/>
    <mergeCell ref="C24:C26"/>
    <mergeCell ref="F6:F8"/>
    <mergeCell ref="C3:C5"/>
    <mergeCell ref="F24:F26"/>
    <mergeCell ref="K18:K20"/>
    <mergeCell ref="N3:N5"/>
    <mergeCell ref="C18:C20"/>
    <mergeCell ref="F3:F5"/>
    <mergeCell ref="G12:G14"/>
    <mergeCell ref="K3:K5"/>
    <mergeCell ref="O9:O11"/>
    <mergeCell ref="O6:O8"/>
    <mergeCell ref="N6:N8"/>
    <mergeCell ref="O18:O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2"/>
  <sheetViews>
    <sheetView tabSelected="1" topLeftCell="N1" zoomScale="143" workbookViewId="0">
      <selection activeCell="J13" sqref="J13"/>
    </sheetView>
  </sheetViews>
  <sheetFormatPr baseColWidth="10" defaultColWidth="9" defaultRowHeight="15" x14ac:dyDescent="0.2"/>
  <cols>
    <col min="2" max="2" width="13.1640625" customWidth="1"/>
    <col min="4" max="4" width="11.5" customWidth="1"/>
    <col min="5" max="5" width="13.1640625" customWidth="1"/>
    <col min="10" max="10" width="13.1640625" customWidth="1"/>
    <col min="18" max="18" width="13.1640625" customWidth="1"/>
    <col min="26" max="26" width="13.1640625" customWidth="1"/>
    <col min="34" max="34" width="13.1640625" customWidth="1"/>
    <col min="42" max="42" width="18" customWidth="1"/>
  </cols>
  <sheetData>
    <row r="1" spans="1:23" x14ac:dyDescent="0.2">
      <c r="A1" s="30" t="s">
        <v>13</v>
      </c>
      <c r="B1" s="31"/>
      <c r="C1" s="32"/>
      <c r="D1" s="32"/>
      <c r="E1" s="32"/>
      <c r="F1" s="32"/>
      <c r="G1" s="33"/>
      <c r="I1" s="30" t="s">
        <v>14</v>
      </c>
      <c r="J1" s="32"/>
      <c r="K1" s="32"/>
      <c r="L1" s="32"/>
      <c r="M1" s="32"/>
      <c r="N1" s="32"/>
      <c r="O1" s="33"/>
      <c r="Q1" s="30" t="s">
        <v>15</v>
      </c>
      <c r="R1" s="32"/>
      <c r="S1" s="32"/>
      <c r="T1" s="32"/>
      <c r="U1" s="32"/>
      <c r="V1" s="32"/>
      <c r="W1" s="33"/>
    </row>
    <row r="2" spans="1:23" x14ac:dyDescent="0.2">
      <c r="A2" t="s">
        <v>0</v>
      </c>
      <c r="B2" s="1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0</v>
      </c>
      <c r="J2" s="1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Q2" t="s">
        <v>0</v>
      </c>
      <c r="R2" s="12" t="s">
        <v>1</v>
      </c>
      <c r="S2" t="s">
        <v>2</v>
      </c>
      <c r="T2" t="s">
        <v>3</v>
      </c>
      <c r="U2" t="s">
        <v>4</v>
      </c>
      <c r="V2" t="s">
        <v>5</v>
      </c>
      <c r="W2" t="s">
        <v>6</v>
      </c>
    </row>
    <row r="3" spans="1:23" x14ac:dyDescent="0.2">
      <c r="A3" s="2">
        <v>1</v>
      </c>
      <c r="B3" s="13">
        <v>6.5</v>
      </c>
      <c r="C3" s="24">
        <f>(SUM(B3:B5)/3)</f>
        <v>6.333333333333333</v>
      </c>
      <c r="D3" s="4">
        <f>(B3-C3)</f>
        <v>0.16666666666666696</v>
      </c>
      <c r="E3" s="4">
        <f t="shared" ref="E3:E29" si="0">(D3*D3)</f>
        <v>2.7777777777777877E-2</v>
      </c>
      <c r="F3" s="24">
        <f>(SQRT(SUM(E3:E5)/2))</f>
        <v>0.28867513459481287</v>
      </c>
      <c r="G3" s="27">
        <f>((F3/C3)*100)</f>
        <v>4.5580284409707295</v>
      </c>
      <c r="I3" s="2">
        <v>1</v>
      </c>
      <c r="J3" s="13">
        <v>6.5</v>
      </c>
      <c r="K3" s="24">
        <f>(SUM(J3:J5)/3)</f>
        <v>4.166666666666667</v>
      </c>
      <c r="L3" s="4">
        <f>(J3-K3)</f>
        <v>2.333333333333333</v>
      </c>
      <c r="M3" s="4">
        <f t="shared" ref="M3:M29" si="1">(L3*L3)</f>
        <v>5.4444444444444429</v>
      </c>
      <c r="N3" s="24">
        <f>(SQRT(SUM(M3:M5)/2))</f>
        <v>3.6170890690351176</v>
      </c>
      <c r="O3" s="27">
        <f>((N3/K3)*100)</f>
        <v>86.810137656842812</v>
      </c>
      <c r="Q3" s="2">
        <v>1</v>
      </c>
      <c r="R3" s="13">
        <v>6</v>
      </c>
      <c r="S3" s="24">
        <f>(SUM(R3:R5)/3)</f>
        <v>6</v>
      </c>
      <c r="T3" s="4">
        <f>(R3-S3)</f>
        <v>0</v>
      </c>
      <c r="U3" s="4">
        <f t="shared" ref="U3:U29" si="2">(T3*T3)</f>
        <v>0</v>
      </c>
      <c r="V3" s="24">
        <f>(SQRT(SUM(U3:U5)/2))</f>
        <v>0</v>
      </c>
      <c r="W3" s="27">
        <f>((V3/S3)*100)</f>
        <v>0</v>
      </c>
    </row>
    <row r="4" spans="1:23" x14ac:dyDescent="0.2">
      <c r="A4" s="5"/>
      <c r="B4" s="13">
        <v>6.5</v>
      </c>
      <c r="C4" s="25"/>
      <c r="D4">
        <f>(B4-C3)</f>
        <v>0.16666666666666696</v>
      </c>
      <c r="E4">
        <f t="shared" si="0"/>
        <v>2.7777777777777877E-2</v>
      </c>
      <c r="F4" s="25"/>
      <c r="G4" s="28"/>
      <c r="I4" s="5"/>
      <c r="J4" s="13"/>
      <c r="K4" s="25"/>
      <c r="L4">
        <f>(J4-K3)</f>
        <v>-4.166666666666667</v>
      </c>
      <c r="M4">
        <f t="shared" si="1"/>
        <v>17.361111111111114</v>
      </c>
      <c r="N4" s="25"/>
      <c r="O4" s="28"/>
      <c r="Q4" s="5"/>
      <c r="R4" s="13">
        <v>6</v>
      </c>
      <c r="S4" s="25"/>
      <c r="T4">
        <f>(R4-S3)</f>
        <v>0</v>
      </c>
      <c r="U4">
        <f t="shared" si="2"/>
        <v>0</v>
      </c>
      <c r="V4" s="25"/>
      <c r="W4" s="28"/>
    </row>
    <row r="5" spans="1:23" x14ac:dyDescent="0.2">
      <c r="A5" s="7"/>
      <c r="B5" s="14">
        <v>6</v>
      </c>
      <c r="C5" s="26"/>
      <c r="D5" s="9">
        <f>(B5-C3)</f>
        <v>-0.33333333333333304</v>
      </c>
      <c r="E5" s="9">
        <f t="shared" si="0"/>
        <v>0.11111111111111091</v>
      </c>
      <c r="F5" s="26"/>
      <c r="G5" s="29"/>
      <c r="I5" s="7"/>
      <c r="J5" s="14">
        <v>6</v>
      </c>
      <c r="K5" s="26"/>
      <c r="L5" s="9">
        <f>(J5-K3)</f>
        <v>1.833333333333333</v>
      </c>
      <c r="M5" s="9">
        <f t="shared" si="1"/>
        <v>3.3611111111111098</v>
      </c>
      <c r="N5" s="26"/>
      <c r="O5" s="29"/>
      <c r="Q5" s="7"/>
      <c r="R5" s="14">
        <v>6</v>
      </c>
      <c r="S5" s="26"/>
      <c r="T5" s="9">
        <f>(R5-S3)</f>
        <v>0</v>
      </c>
      <c r="U5" s="9">
        <f t="shared" si="2"/>
        <v>0</v>
      </c>
      <c r="V5" s="26"/>
      <c r="W5" s="29"/>
    </row>
    <row r="6" spans="1:23" x14ac:dyDescent="0.2">
      <c r="A6" s="2">
        <v>2</v>
      </c>
      <c r="B6" s="15">
        <v>6</v>
      </c>
      <c r="C6" s="24">
        <f>(SUM(B6:B8)/3)</f>
        <v>6.166666666666667</v>
      </c>
      <c r="D6" s="4">
        <f t="shared" ref="D6:D8" si="3">(B6-C$6)</f>
        <v>-0.16666666666666696</v>
      </c>
      <c r="E6" s="4">
        <f t="shared" si="0"/>
        <v>2.7777777777777877E-2</v>
      </c>
      <c r="F6" s="24">
        <f>(SQRT(SUM(E6:E8)/2))</f>
        <v>0.28867513459481287</v>
      </c>
      <c r="G6" s="27">
        <f>((F6/C6)*100)</f>
        <v>4.6812183988348028</v>
      </c>
      <c r="I6" s="2">
        <v>2</v>
      </c>
      <c r="J6" s="15">
        <v>6.5</v>
      </c>
      <c r="K6" s="24">
        <f>(SUM(J6:J8)/3)</f>
        <v>6.333333333333333</v>
      </c>
      <c r="L6" s="4">
        <f t="shared" ref="L6:L8" si="4">(J6-K$6)</f>
        <v>0.16666666666666696</v>
      </c>
      <c r="M6" s="4">
        <f t="shared" si="1"/>
        <v>2.7777777777777877E-2</v>
      </c>
      <c r="N6" s="24">
        <f>(SQRT(SUM(M6:M8)/2))</f>
        <v>0.28867513459481287</v>
      </c>
      <c r="O6" s="27">
        <f>((N6/K6)*100)</f>
        <v>4.5580284409707295</v>
      </c>
      <c r="Q6" s="2">
        <v>2</v>
      </c>
      <c r="R6" s="15">
        <v>6</v>
      </c>
      <c r="S6" s="24">
        <f>(SUM(R6:R8)/3)</f>
        <v>6</v>
      </c>
      <c r="T6" s="4">
        <f t="shared" ref="T6:T8" si="5">(R6-S$6)</f>
        <v>0</v>
      </c>
      <c r="U6" s="4">
        <f t="shared" si="2"/>
        <v>0</v>
      </c>
      <c r="V6" s="24">
        <f>(SQRT(SUM(U6:U8)/2))</f>
        <v>0</v>
      </c>
      <c r="W6" s="27">
        <f>((V6/S6)*100)</f>
        <v>0</v>
      </c>
    </row>
    <row r="7" spans="1:23" x14ac:dyDescent="0.2">
      <c r="A7" s="5"/>
      <c r="B7" s="13">
        <v>6.5</v>
      </c>
      <c r="C7" s="25"/>
      <c r="D7">
        <f t="shared" si="3"/>
        <v>0.33333333333333304</v>
      </c>
      <c r="E7">
        <f t="shared" si="0"/>
        <v>0.11111111111111091</v>
      </c>
      <c r="F7" s="25"/>
      <c r="G7" s="28"/>
      <c r="I7" s="5"/>
      <c r="J7" s="13">
        <v>6</v>
      </c>
      <c r="K7" s="25"/>
      <c r="L7">
        <f t="shared" si="4"/>
        <v>-0.33333333333333304</v>
      </c>
      <c r="M7">
        <f t="shared" si="1"/>
        <v>0.11111111111111091</v>
      </c>
      <c r="N7" s="25"/>
      <c r="O7" s="28"/>
      <c r="Q7" s="5"/>
      <c r="R7" s="13">
        <v>6</v>
      </c>
      <c r="S7" s="25"/>
      <c r="T7">
        <f t="shared" si="5"/>
        <v>0</v>
      </c>
      <c r="U7">
        <f t="shared" si="2"/>
        <v>0</v>
      </c>
      <c r="V7" s="25"/>
      <c r="W7" s="28"/>
    </row>
    <row r="8" spans="1:23" x14ac:dyDescent="0.2">
      <c r="A8" s="7"/>
      <c r="B8" s="14">
        <v>6</v>
      </c>
      <c r="C8" s="26"/>
      <c r="D8" s="9">
        <f t="shared" si="3"/>
        <v>-0.16666666666666696</v>
      </c>
      <c r="E8" s="9">
        <f t="shared" si="0"/>
        <v>2.7777777777777877E-2</v>
      </c>
      <c r="F8" s="26"/>
      <c r="G8" s="29"/>
      <c r="I8" s="7"/>
      <c r="J8" s="14">
        <v>6.5</v>
      </c>
      <c r="K8" s="26"/>
      <c r="L8" s="9">
        <f t="shared" si="4"/>
        <v>0.16666666666666696</v>
      </c>
      <c r="M8" s="9">
        <f t="shared" si="1"/>
        <v>2.7777777777777877E-2</v>
      </c>
      <c r="N8" s="26"/>
      <c r="O8" s="29"/>
      <c r="Q8" s="7"/>
      <c r="R8" s="14">
        <v>6</v>
      </c>
      <c r="S8" s="26"/>
      <c r="T8" s="9">
        <f t="shared" si="5"/>
        <v>0</v>
      </c>
      <c r="U8" s="9">
        <f t="shared" si="2"/>
        <v>0</v>
      </c>
      <c r="V8" s="26"/>
      <c r="W8" s="29"/>
    </row>
    <row r="9" spans="1:23" x14ac:dyDescent="0.2">
      <c r="A9" s="2">
        <v>3</v>
      </c>
      <c r="B9" s="15">
        <v>6.5</v>
      </c>
      <c r="C9" s="24">
        <f>(SUM(B9:B11)/3)</f>
        <v>6.5</v>
      </c>
      <c r="D9" s="4">
        <f t="shared" ref="D9:D11" si="6">(B9-C$9)</f>
        <v>0</v>
      </c>
      <c r="E9" s="4">
        <f t="shared" si="0"/>
        <v>0</v>
      </c>
      <c r="F9" s="24">
        <f>(SQRT(SUM(E9:E11)/2))</f>
        <v>0</v>
      </c>
      <c r="G9" s="27">
        <f>((F9/C9)*100)</f>
        <v>0</v>
      </c>
      <c r="I9" s="2">
        <v>3</v>
      </c>
      <c r="J9" s="15">
        <v>6.5</v>
      </c>
      <c r="K9" s="24">
        <f>(SUM(J9:J11)/3)</f>
        <v>6.166666666666667</v>
      </c>
      <c r="L9" s="4">
        <f t="shared" ref="L9:L11" si="7">(J9-K$9)</f>
        <v>0.33333333333333304</v>
      </c>
      <c r="M9" s="4">
        <f t="shared" si="1"/>
        <v>0.11111111111111091</v>
      </c>
      <c r="N9" s="24">
        <f>(SQRT(SUM(M9:M11)/2))</f>
        <v>0.28867513459481287</v>
      </c>
      <c r="O9" s="27">
        <f>((N9/K9)*100)</f>
        <v>4.6812183988348028</v>
      </c>
      <c r="Q9" s="2">
        <v>3</v>
      </c>
      <c r="R9" s="15">
        <v>6</v>
      </c>
      <c r="S9" s="24">
        <f>(SUM(R9:R11)/3)</f>
        <v>6</v>
      </c>
      <c r="T9" s="4">
        <f t="shared" ref="T9:T11" si="8">(R9-S$9)</f>
        <v>0</v>
      </c>
      <c r="U9" s="4">
        <f t="shared" si="2"/>
        <v>0</v>
      </c>
      <c r="V9" s="24">
        <f>(SQRT(SUM(U9:U11)/2))</f>
        <v>0</v>
      </c>
      <c r="W9" s="27">
        <f>((V9/S9)*100)</f>
        <v>0</v>
      </c>
    </row>
    <row r="10" spans="1:23" x14ac:dyDescent="0.2">
      <c r="A10" s="5"/>
      <c r="B10" s="13">
        <v>6.5</v>
      </c>
      <c r="C10" s="25"/>
      <c r="D10">
        <f t="shared" si="6"/>
        <v>0</v>
      </c>
      <c r="E10">
        <f t="shared" si="0"/>
        <v>0</v>
      </c>
      <c r="F10" s="25"/>
      <c r="G10" s="28"/>
      <c r="I10" s="5"/>
      <c r="J10" s="13">
        <v>6</v>
      </c>
      <c r="K10" s="25"/>
      <c r="L10">
        <f t="shared" si="7"/>
        <v>-0.16666666666666696</v>
      </c>
      <c r="M10">
        <f t="shared" si="1"/>
        <v>2.7777777777777877E-2</v>
      </c>
      <c r="N10" s="25"/>
      <c r="O10" s="28"/>
      <c r="Q10" s="5"/>
      <c r="R10" s="13">
        <v>6</v>
      </c>
      <c r="S10" s="25"/>
      <c r="T10">
        <f t="shared" si="8"/>
        <v>0</v>
      </c>
      <c r="U10">
        <f t="shared" si="2"/>
        <v>0</v>
      </c>
      <c r="V10" s="25"/>
      <c r="W10" s="28"/>
    </row>
    <row r="11" spans="1:23" x14ac:dyDescent="0.2">
      <c r="A11" s="7"/>
      <c r="B11" s="14">
        <v>6.5</v>
      </c>
      <c r="C11" s="26"/>
      <c r="D11" s="9">
        <f t="shared" si="6"/>
        <v>0</v>
      </c>
      <c r="E11" s="9">
        <f t="shared" si="0"/>
        <v>0</v>
      </c>
      <c r="F11" s="26"/>
      <c r="G11" s="29"/>
      <c r="I11" s="7"/>
      <c r="J11" s="14">
        <v>6</v>
      </c>
      <c r="K11" s="26"/>
      <c r="L11" s="9">
        <f t="shared" si="7"/>
        <v>-0.16666666666666696</v>
      </c>
      <c r="M11" s="9">
        <f t="shared" si="1"/>
        <v>2.7777777777777877E-2</v>
      </c>
      <c r="N11" s="26"/>
      <c r="O11" s="29"/>
      <c r="Q11" s="7"/>
      <c r="R11" s="14">
        <v>6</v>
      </c>
      <c r="S11" s="26"/>
      <c r="T11" s="9">
        <f t="shared" si="8"/>
        <v>0</v>
      </c>
      <c r="U11" s="9">
        <f t="shared" si="2"/>
        <v>0</v>
      </c>
      <c r="V11" s="26"/>
      <c r="W11" s="29"/>
    </row>
    <row r="12" spans="1:23" x14ac:dyDescent="0.2">
      <c r="A12" s="2">
        <v>4</v>
      </c>
      <c r="B12" s="15">
        <v>6.5</v>
      </c>
      <c r="C12" s="24">
        <f>(SUM(B12:B14)/3)</f>
        <v>6.333333333333333</v>
      </c>
      <c r="D12" s="4">
        <f t="shared" ref="D12:D14" si="9">(B12-C$12)</f>
        <v>0.16666666666666696</v>
      </c>
      <c r="E12" s="4">
        <f t="shared" si="0"/>
        <v>2.7777777777777877E-2</v>
      </c>
      <c r="F12" s="24">
        <f>(SQRT(SUM(E12:E14)/2))</f>
        <v>0.28867513459481287</v>
      </c>
      <c r="G12" s="27">
        <f>((F12/C12)*100)</f>
        <v>4.5580284409707295</v>
      </c>
      <c r="I12" s="2">
        <v>4</v>
      </c>
      <c r="J12" s="15">
        <v>6</v>
      </c>
      <c r="K12" s="24">
        <f>(SUM(J12:J14)/3)</f>
        <v>6.333333333333333</v>
      </c>
      <c r="L12" s="4">
        <f t="shared" ref="L12:L14" si="10">(J12-K$12)</f>
        <v>-0.33333333333333304</v>
      </c>
      <c r="M12" s="4">
        <f t="shared" si="1"/>
        <v>0.11111111111111091</v>
      </c>
      <c r="N12" s="24">
        <f>(SQRT(SUM(M12:M14)/2))</f>
        <v>0.28867513459481287</v>
      </c>
      <c r="O12" s="27">
        <f>((N12/K12)*100)</f>
        <v>4.5580284409707295</v>
      </c>
      <c r="Q12" s="2">
        <v>4</v>
      </c>
      <c r="R12" s="15">
        <v>6</v>
      </c>
      <c r="S12" s="24">
        <f>(SUM(R12:R14)/3)</f>
        <v>6</v>
      </c>
      <c r="T12" s="4">
        <f t="shared" ref="T12:T14" si="11">(R12-S$12)</f>
        <v>0</v>
      </c>
      <c r="U12" s="4">
        <f t="shared" si="2"/>
        <v>0</v>
      </c>
      <c r="V12" s="24">
        <f>(SQRT(SUM(U12:U14)/2))</f>
        <v>0</v>
      </c>
      <c r="W12" s="27">
        <f>((V12/S12)*100)</f>
        <v>0</v>
      </c>
    </row>
    <row r="13" spans="1:23" x14ac:dyDescent="0.2">
      <c r="A13" s="5"/>
      <c r="B13" s="13">
        <v>6.5</v>
      </c>
      <c r="C13" s="25"/>
      <c r="D13">
        <f t="shared" si="9"/>
        <v>0.16666666666666696</v>
      </c>
      <c r="E13">
        <f t="shared" si="0"/>
        <v>2.7777777777777877E-2</v>
      </c>
      <c r="F13" s="25"/>
      <c r="G13" s="28"/>
      <c r="I13" s="5"/>
      <c r="J13" s="13">
        <v>6.5</v>
      </c>
      <c r="K13" s="25"/>
      <c r="L13">
        <f t="shared" si="10"/>
        <v>0.16666666666666696</v>
      </c>
      <c r="M13">
        <f t="shared" si="1"/>
        <v>2.7777777777777877E-2</v>
      </c>
      <c r="N13" s="25"/>
      <c r="O13" s="28"/>
      <c r="Q13" s="5"/>
      <c r="R13" s="13">
        <v>6</v>
      </c>
      <c r="S13" s="25"/>
      <c r="T13">
        <f t="shared" si="11"/>
        <v>0</v>
      </c>
      <c r="U13">
        <f t="shared" si="2"/>
        <v>0</v>
      </c>
      <c r="V13" s="25"/>
      <c r="W13" s="28"/>
    </row>
    <row r="14" spans="1:23" x14ac:dyDescent="0.2">
      <c r="A14" s="7"/>
      <c r="B14" s="14">
        <v>6</v>
      </c>
      <c r="C14" s="26"/>
      <c r="D14" s="9">
        <f t="shared" si="9"/>
        <v>-0.33333333333333304</v>
      </c>
      <c r="E14" s="9">
        <f t="shared" si="0"/>
        <v>0.11111111111111091</v>
      </c>
      <c r="F14" s="26"/>
      <c r="G14" s="29"/>
      <c r="I14" s="7"/>
      <c r="J14" s="14">
        <v>6.5</v>
      </c>
      <c r="K14" s="26"/>
      <c r="L14" s="9">
        <f t="shared" si="10"/>
        <v>0.16666666666666696</v>
      </c>
      <c r="M14" s="9">
        <f t="shared" si="1"/>
        <v>2.7777777777777877E-2</v>
      </c>
      <c r="N14" s="26"/>
      <c r="O14" s="29"/>
      <c r="Q14" s="7"/>
      <c r="R14" s="14">
        <v>6</v>
      </c>
      <c r="S14" s="26"/>
      <c r="T14" s="9">
        <f t="shared" si="11"/>
        <v>0</v>
      </c>
      <c r="U14" s="9">
        <f t="shared" si="2"/>
        <v>0</v>
      </c>
      <c r="V14" s="26"/>
      <c r="W14" s="29"/>
    </row>
    <row r="15" spans="1:23" x14ac:dyDescent="0.2">
      <c r="A15" s="2">
        <v>5</v>
      </c>
      <c r="B15" s="15">
        <v>7</v>
      </c>
      <c r="C15" s="24">
        <f>(SUM(B15:B17)/3)</f>
        <v>6.833333333333333</v>
      </c>
      <c r="D15" s="4">
        <f t="shared" ref="D15:D17" si="12">(B15-C$15)</f>
        <v>0.16666666666666696</v>
      </c>
      <c r="E15" s="4">
        <f t="shared" si="0"/>
        <v>2.7777777777777877E-2</v>
      </c>
      <c r="F15" s="24">
        <f>(SQRT(SUM(E15:E17)/2))</f>
        <v>0.28867513459481287</v>
      </c>
      <c r="G15" s="27">
        <f>((F15/C15)*100)</f>
        <v>4.2245141648021391</v>
      </c>
      <c r="I15" s="2">
        <v>5</v>
      </c>
      <c r="J15" s="15">
        <v>6.5</v>
      </c>
      <c r="K15" s="24">
        <f>(SUM(J15:J17)/3)</f>
        <v>6.333333333333333</v>
      </c>
      <c r="L15" s="4">
        <f t="shared" ref="L15:L17" si="13">(J15-K$15)</f>
        <v>0.16666666666666696</v>
      </c>
      <c r="M15" s="4">
        <f t="shared" si="1"/>
        <v>2.7777777777777877E-2</v>
      </c>
      <c r="N15" s="24">
        <f>(SQRT(SUM(M15:M17)/2))</f>
        <v>0.28867513459481287</v>
      </c>
      <c r="O15" s="27">
        <f>((N15/K15)*100)</f>
        <v>4.5580284409707295</v>
      </c>
      <c r="Q15" s="2">
        <v>5</v>
      </c>
      <c r="R15" s="16">
        <v>6</v>
      </c>
      <c r="S15" s="24">
        <f>(SUM(R15:R17)/3)</f>
        <v>6</v>
      </c>
      <c r="T15" s="4">
        <f t="shared" ref="T15:T17" si="14">(R15-S$15)</f>
        <v>0</v>
      </c>
      <c r="U15" s="4">
        <f t="shared" si="2"/>
        <v>0</v>
      </c>
      <c r="V15" s="24">
        <f>(SQRT(SUM(U15:U17)/2))</f>
        <v>0</v>
      </c>
      <c r="W15" s="27">
        <f>((V15/S15)*100)</f>
        <v>0</v>
      </c>
    </row>
    <row r="16" spans="1:23" x14ac:dyDescent="0.2">
      <c r="A16" s="5"/>
      <c r="B16" s="13">
        <v>6.5</v>
      </c>
      <c r="C16" s="25"/>
      <c r="D16">
        <f t="shared" si="12"/>
        <v>-0.33333333333333304</v>
      </c>
      <c r="E16">
        <f t="shared" si="0"/>
        <v>0.11111111111111091</v>
      </c>
      <c r="F16" s="25"/>
      <c r="G16" s="28"/>
      <c r="I16" s="5"/>
      <c r="J16" s="13">
        <v>6.5</v>
      </c>
      <c r="K16" s="25"/>
      <c r="L16">
        <f t="shared" si="13"/>
        <v>0.16666666666666696</v>
      </c>
      <c r="M16">
        <f t="shared" si="1"/>
        <v>2.7777777777777877E-2</v>
      </c>
      <c r="N16" s="25"/>
      <c r="O16" s="28"/>
      <c r="Q16" s="5"/>
      <c r="R16" s="13">
        <v>6</v>
      </c>
      <c r="S16" s="25"/>
      <c r="T16">
        <f t="shared" si="14"/>
        <v>0</v>
      </c>
      <c r="U16">
        <f t="shared" si="2"/>
        <v>0</v>
      </c>
      <c r="V16" s="25"/>
      <c r="W16" s="28"/>
    </row>
    <row r="17" spans="1:23" x14ac:dyDescent="0.2">
      <c r="A17" s="7"/>
      <c r="B17" s="17">
        <v>7</v>
      </c>
      <c r="C17" s="26"/>
      <c r="D17" s="9">
        <f t="shared" si="12"/>
        <v>0.16666666666666696</v>
      </c>
      <c r="E17" s="9">
        <f t="shared" si="0"/>
        <v>2.7777777777777877E-2</v>
      </c>
      <c r="F17" s="26"/>
      <c r="G17" s="29"/>
      <c r="I17" s="7"/>
      <c r="J17" s="14">
        <v>6</v>
      </c>
      <c r="K17" s="26"/>
      <c r="L17" s="9">
        <f t="shared" si="13"/>
        <v>-0.33333333333333304</v>
      </c>
      <c r="M17" s="9">
        <f t="shared" si="1"/>
        <v>0.11111111111111091</v>
      </c>
      <c r="N17" s="26"/>
      <c r="O17" s="29"/>
      <c r="Q17" s="7"/>
      <c r="R17" s="14">
        <v>6</v>
      </c>
      <c r="S17" s="26"/>
      <c r="T17" s="9">
        <f t="shared" si="14"/>
        <v>0</v>
      </c>
      <c r="U17" s="9">
        <f t="shared" si="2"/>
        <v>0</v>
      </c>
      <c r="V17" s="26"/>
      <c r="W17" s="29"/>
    </row>
    <row r="18" spans="1:23" x14ac:dyDescent="0.2">
      <c r="A18" s="2">
        <v>6</v>
      </c>
      <c r="B18" s="15">
        <v>6.5</v>
      </c>
      <c r="C18" s="24">
        <f>(SUM(B18:B20)/3)</f>
        <v>6.833333333333333</v>
      </c>
      <c r="D18" s="4">
        <f t="shared" ref="D18:D20" si="15">(B18-C$18)</f>
        <v>-0.33333333333333304</v>
      </c>
      <c r="E18" s="4">
        <f t="shared" si="0"/>
        <v>0.11111111111111091</v>
      </c>
      <c r="F18" s="24">
        <f>(SQRT(SUM(E18:E20)/2))</f>
        <v>0.28867513459481287</v>
      </c>
      <c r="G18" s="27">
        <f>((F18/C18)*100)</f>
        <v>4.2245141648021391</v>
      </c>
      <c r="I18" s="2">
        <v>6</v>
      </c>
      <c r="J18" s="15">
        <v>6.5</v>
      </c>
      <c r="K18" s="24">
        <f>(SUM(J18:J20)/3)</f>
        <v>6.5</v>
      </c>
      <c r="L18" s="4">
        <f t="shared" ref="L18:L20" si="16">(J18-K$18)</f>
        <v>0</v>
      </c>
      <c r="M18" s="4">
        <f t="shared" si="1"/>
        <v>0</v>
      </c>
      <c r="N18" s="24">
        <f>(SQRT(SUM(M18:M20)/2))</f>
        <v>0</v>
      </c>
      <c r="O18" s="27">
        <f>((N18/K18)*100)</f>
        <v>0</v>
      </c>
      <c r="Q18" s="2">
        <v>6</v>
      </c>
      <c r="R18" s="15">
        <v>6</v>
      </c>
      <c r="S18" s="24">
        <f>(SUM(R18:R20)/3)</f>
        <v>6</v>
      </c>
      <c r="T18" s="4">
        <f t="shared" ref="T18:T20" si="17">(R18-S$18)</f>
        <v>0</v>
      </c>
      <c r="U18" s="4">
        <f t="shared" si="2"/>
        <v>0</v>
      </c>
      <c r="V18" s="24">
        <f>(SQRT(SUM(U18:U20)/2))</f>
        <v>0</v>
      </c>
      <c r="W18" s="27">
        <f>((V18/S18)*100)</f>
        <v>0</v>
      </c>
    </row>
    <row r="19" spans="1:23" x14ac:dyDescent="0.2">
      <c r="A19" s="5"/>
      <c r="B19" s="13">
        <v>7</v>
      </c>
      <c r="C19" s="25"/>
      <c r="D19">
        <f t="shared" si="15"/>
        <v>0.16666666666666696</v>
      </c>
      <c r="E19">
        <f t="shared" si="0"/>
        <v>2.7777777777777877E-2</v>
      </c>
      <c r="F19" s="25"/>
      <c r="G19" s="28"/>
      <c r="I19" s="5"/>
      <c r="J19" s="13">
        <v>6.5</v>
      </c>
      <c r="K19" s="25"/>
      <c r="L19">
        <f t="shared" si="16"/>
        <v>0</v>
      </c>
      <c r="M19">
        <f t="shared" si="1"/>
        <v>0</v>
      </c>
      <c r="N19" s="25"/>
      <c r="O19" s="28"/>
      <c r="Q19" s="5"/>
      <c r="R19" s="13">
        <v>6</v>
      </c>
      <c r="S19" s="25"/>
      <c r="T19">
        <f t="shared" si="17"/>
        <v>0</v>
      </c>
      <c r="U19">
        <f t="shared" si="2"/>
        <v>0</v>
      </c>
      <c r="V19" s="25"/>
      <c r="W19" s="28"/>
    </row>
    <row r="20" spans="1:23" x14ac:dyDescent="0.2">
      <c r="A20" s="7"/>
      <c r="B20" s="14">
        <v>7</v>
      </c>
      <c r="C20" s="26"/>
      <c r="D20" s="9">
        <f t="shared" si="15"/>
        <v>0.16666666666666696</v>
      </c>
      <c r="E20" s="9">
        <f t="shared" si="0"/>
        <v>2.7777777777777877E-2</v>
      </c>
      <c r="F20" s="26"/>
      <c r="G20" s="29"/>
      <c r="I20" s="7"/>
      <c r="J20" s="14">
        <v>6.5</v>
      </c>
      <c r="K20" s="26"/>
      <c r="L20" s="9">
        <f t="shared" si="16"/>
        <v>0</v>
      </c>
      <c r="M20" s="9">
        <f t="shared" si="1"/>
        <v>0</v>
      </c>
      <c r="N20" s="26"/>
      <c r="O20" s="29"/>
      <c r="Q20" s="7"/>
      <c r="R20" s="14">
        <v>6</v>
      </c>
      <c r="S20" s="26"/>
      <c r="T20" s="9">
        <f t="shared" si="17"/>
        <v>0</v>
      </c>
      <c r="U20" s="9">
        <f t="shared" si="2"/>
        <v>0</v>
      </c>
      <c r="V20" s="26"/>
      <c r="W20" s="29"/>
    </row>
    <row r="21" spans="1:23" x14ac:dyDescent="0.2">
      <c r="A21" s="2">
        <v>7</v>
      </c>
      <c r="B21" s="15">
        <v>6.25</v>
      </c>
      <c r="C21" s="24">
        <f>(SUM(B21:B23)/3)</f>
        <v>6.25</v>
      </c>
      <c r="D21" s="4">
        <f t="shared" ref="D21:D23" si="18">(B21-C$21)</f>
        <v>0</v>
      </c>
      <c r="E21" s="4">
        <f t="shared" si="0"/>
        <v>0</v>
      </c>
      <c r="F21" s="24">
        <f>(SQRT(SUM(E21:E23)/2))</f>
        <v>0</v>
      </c>
      <c r="G21" s="27">
        <f>((F21/C21)*100)</f>
        <v>0</v>
      </c>
      <c r="I21" s="2">
        <v>7</v>
      </c>
      <c r="J21" s="15">
        <v>6</v>
      </c>
      <c r="K21" s="24">
        <f>(SUM(J21:J23)/3)</f>
        <v>6</v>
      </c>
      <c r="L21" s="4">
        <f t="shared" ref="L21:L23" si="19">(J21-K$21)</f>
        <v>0</v>
      </c>
      <c r="M21" s="4">
        <f t="shared" si="1"/>
        <v>0</v>
      </c>
      <c r="N21" s="24">
        <f>(SQRT(SUM(M21:M23)/2))</f>
        <v>0</v>
      </c>
      <c r="O21" s="27">
        <f>((N21/K21)*100)</f>
        <v>0</v>
      </c>
      <c r="Q21" s="2">
        <v>7</v>
      </c>
      <c r="R21" s="15">
        <v>6</v>
      </c>
      <c r="S21" s="24">
        <f>(SUM(R21:R23)/3)</f>
        <v>6</v>
      </c>
      <c r="T21" s="4">
        <f t="shared" ref="T21:T23" si="20">(R21-S$21)</f>
        <v>0</v>
      </c>
      <c r="U21" s="4">
        <f t="shared" si="2"/>
        <v>0</v>
      </c>
      <c r="V21" s="24">
        <f>(SQRT(SUM(U21:U23)/2))</f>
        <v>0</v>
      </c>
      <c r="W21" s="27">
        <f>((V21/S21)*100)</f>
        <v>0</v>
      </c>
    </row>
    <row r="22" spans="1:23" x14ac:dyDescent="0.2">
      <c r="A22" s="5"/>
      <c r="B22" s="13">
        <v>6.25</v>
      </c>
      <c r="C22" s="25"/>
      <c r="D22">
        <f t="shared" si="18"/>
        <v>0</v>
      </c>
      <c r="E22">
        <f t="shared" si="0"/>
        <v>0</v>
      </c>
      <c r="F22" s="25"/>
      <c r="G22" s="28"/>
      <c r="I22" s="5"/>
      <c r="J22" s="13">
        <v>6</v>
      </c>
      <c r="K22" s="25"/>
      <c r="L22">
        <f t="shared" si="19"/>
        <v>0</v>
      </c>
      <c r="M22">
        <f t="shared" si="1"/>
        <v>0</v>
      </c>
      <c r="N22" s="25"/>
      <c r="O22" s="28"/>
      <c r="Q22" s="5"/>
      <c r="R22" s="18">
        <v>6</v>
      </c>
      <c r="S22" s="25"/>
      <c r="T22">
        <f t="shared" si="20"/>
        <v>0</v>
      </c>
      <c r="U22">
        <f t="shared" si="2"/>
        <v>0</v>
      </c>
      <c r="V22" s="25"/>
      <c r="W22" s="28"/>
    </row>
    <row r="23" spans="1:23" x14ac:dyDescent="0.2">
      <c r="A23" s="7"/>
      <c r="B23" s="14">
        <v>6.25</v>
      </c>
      <c r="C23" s="26"/>
      <c r="D23" s="9">
        <f t="shared" si="18"/>
        <v>0</v>
      </c>
      <c r="E23" s="9">
        <f t="shared" si="0"/>
        <v>0</v>
      </c>
      <c r="F23" s="26"/>
      <c r="G23" s="29"/>
      <c r="I23" s="7"/>
      <c r="J23" s="14">
        <v>6</v>
      </c>
      <c r="K23" s="26"/>
      <c r="L23" s="9">
        <f t="shared" si="19"/>
        <v>0</v>
      </c>
      <c r="M23" s="9">
        <f t="shared" si="1"/>
        <v>0</v>
      </c>
      <c r="N23" s="26"/>
      <c r="O23" s="29"/>
      <c r="Q23" s="7"/>
      <c r="R23" s="14">
        <v>6</v>
      </c>
      <c r="S23" s="26"/>
      <c r="T23" s="9">
        <f t="shared" si="20"/>
        <v>0</v>
      </c>
      <c r="U23" s="9">
        <f t="shared" si="2"/>
        <v>0</v>
      </c>
      <c r="V23" s="26"/>
      <c r="W23" s="29"/>
    </row>
    <row r="24" spans="1:23" x14ac:dyDescent="0.2">
      <c r="A24" s="2">
        <v>8</v>
      </c>
      <c r="B24" s="15">
        <v>6</v>
      </c>
      <c r="C24" s="24">
        <f>(SUM(B24:B26)/3)</f>
        <v>6</v>
      </c>
      <c r="D24" s="4">
        <f t="shared" ref="D24:D26" si="21">(B24-C$24)</f>
        <v>0</v>
      </c>
      <c r="E24" s="4">
        <f t="shared" si="0"/>
        <v>0</v>
      </c>
      <c r="F24" s="24">
        <f>(SQRT(SUM(E24:E26)/2))</f>
        <v>0</v>
      </c>
      <c r="G24" s="27">
        <f>((F24/C24)*100)</f>
        <v>0</v>
      </c>
      <c r="I24" s="2">
        <v>8</v>
      </c>
      <c r="J24" s="15">
        <v>6</v>
      </c>
      <c r="K24" s="24">
        <f>(SUM(J24:J26)/3)</f>
        <v>6</v>
      </c>
      <c r="L24" s="4">
        <f t="shared" ref="L24:L26" si="22">(J24-K$24)</f>
        <v>0</v>
      </c>
      <c r="M24" s="4">
        <f t="shared" si="1"/>
        <v>0</v>
      </c>
      <c r="N24" s="24">
        <f>(SQRT(SUM(M24:M26)/2))</f>
        <v>0</v>
      </c>
      <c r="O24" s="27">
        <f>((N24/K24)*100)</f>
        <v>0</v>
      </c>
      <c r="Q24" s="2">
        <v>8</v>
      </c>
      <c r="R24" s="15">
        <v>6</v>
      </c>
      <c r="S24" s="24">
        <f>(SUM(R24:R26)/3)</f>
        <v>6</v>
      </c>
      <c r="T24" s="4">
        <f t="shared" ref="T24:T26" si="23">(R24-S$24)</f>
        <v>0</v>
      </c>
      <c r="U24" s="4">
        <f t="shared" si="2"/>
        <v>0</v>
      </c>
      <c r="V24" s="24">
        <f>(SQRT(SUM(U24:U26)/2))</f>
        <v>0</v>
      </c>
      <c r="W24" s="27">
        <f>((V24/S24)*100)</f>
        <v>0</v>
      </c>
    </row>
    <row r="25" spans="1:23" x14ac:dyDescent="0.2">
      <c r="A25" s="5"/>
      <c r="B25" s="13">
        <v>6</v>
      </c>
      <c r="C25" s="25"/>
      <c r="D25">
        <f t="shared" si="21"/>
        <v>0</v>
      </c>
      <c r="E25">
        <f t="shared" si="0"/>
        <v>0</v>
      </c>
      <c r="F25" s="25"/>
      <c r="G25" s="28"/>
      <c r="I25" s="5"/>
      <c r="J25" s="13">
        <v>6</v>
      </c>
      <c r="K25" s="25"/>
      <c r="L25">
        <f t="shared" si="22"/>
        <v>0</v>
      </c>
      <c r="M25">
        <f t="shared" si="1"/>
        <v>0</v>
      </c>
      <c r="N25" s="25"/>
      <c r="O25" s="28"/>
      <c r="Q25" s="5"/>
      <c r="R25" s="13">
        <v>6</v>
      </c>
      <c r="S25" s="25"/>
      <c r="T25">
        <f t="shared" si="23"/>
        <v>0</v>
      </c>
      <c r="U25">
        <f t="shared" si="2"/>
        <v>0</v>
      </c>
      <c r="V25" s="25"/>
      <c r="W25" s="28"/>
    </row>
    <row r="26" spans="1:23" x14ac:dyDescent="0.2">
      <c r="A26" s="7"/>
      <c r="B26" s="14">
        <v>6</v>
      </c>
      <c r="C26" s="26"/>
      <c r="D26" s="9">
        <f t="shared" si="21"/>
        <v>0</v>
      </c>
      <c r="E26" s="9">
        <f t="shared" si="0"/>
        <v>0</v>
      </c>
      <c r="F26" s="26"/>
      <c r="G26" s="29"/>
      <c r="I26" s="7"/>
      <c r="J26" s="14">
        <v>6</v>
      </c>
      <c r="K26" s="26"/>
      <c r="L26" s="9">
        <f t="shared" si="22"/>
        <v>0</v>
      </c>
      <c r="M26" s="9">
        <f t="shared" si="1"/>
        <v>0</v>
      </c>
      <c r="N26" s="26"/>
      <c r="O26" s="29"/>
      <c r="Q26" s="7"/>
      <c r="R26" s="14">
        <v>6</v>
      </c>
      <c r="S26" s="26"/>
      <c r="T26" s="9">
        <f t="shared" si="23"/>
        <v>0</v>
      </c>
      <c r="U26" s="9">
        <f t="shared" si="2"/>
        <v>0</v>
      </c>
      <c r="V26" s="26"/>
      <c r="W26" s="29"/>
    </row>
    <row r="27" spans="1:23" x14ac:dyDescent="0.2">
      <c r="A27" s="2">
        <v>9</v>
      </c>
      <c r="B27" s="16">
        <v>6</v>
      </c>
      <c r="C27" s="24">
        <f>(SUM(B27:B29)/3)</f>
        <v>6</v>
      </c>
      <c r="D27" s="4">
        <f t="shared" ref="D27:D29" si="24">(B27-C$27)</f>
        <v>0</v>
      </c>
      <c r="E27" s="4">
        <f t="shared" si="0"/>
        <v>0</v>
      </c>
      <c r="F27" s="24">
        <f>(SQRT(SUM(E27:E29)/2))</f>
        <v>0</v>
      </c>
      <c r="G27" s="27">
        <f>((F27/C27)*100)</f>
        <v>0</v>
      </c>
      <c r="I27" s="2">
        <v>9</v>
      </c>
      <c r="J27" s="15">
        <v>6</v>
      </c>
      <c r="K27" s="24">
        <f>(SUM(J27:J29)/3)</f>
        <v>6</v>
      </c>
      <c r="L27" s="4">
        <f t="shared" ref="L27:L29" si="25">(J27-K$27)</f>
        <v>0</v>
      </c>
      <c r="M27" s="4">
        <f t="shared" si="1"/>
        <v>0</v>
      </c>
      <c r="N27" s="24">
        <f>(SQRT(SUM(M27:M29)/2))</f>
        <v>0</v>
      </c>
      <c r="O27" s="27">
        <f>((N27/K27)*100)</f>
        <v>0</v>
      </c>
      <c r="Q27" s="2">
        <v>9</v>
      </c>
      <c r="R27" s="15">
        <v>6</v>
      </c>
      <c r="S27" s="24">
        <f>(SUM(R27:R29)/3)</f>
        <v>6</v>
      </c>
      <c r="T27" s="4">
        <f t="shared" ref="T27:T29" si="26">(R27-S$27)</f>
        <v>0</v>
      </c>
      <c r="U27" s="4">
        <f t="shared" si="2"/>
        <v>0</v>
      </c>
      <c r="V27" s="24">
        <f>(SQRT(SUM(U27:U29)/2))</f>
        <v>0</v>
      </c>
      <c r="W27" s="27">
        <f>((V27/S27)*100)</f>
        <v>0</v>
      </c>
    </row>
    <row r="28" spans="1:23" x14ac:dyDescent="0.2">
      <c r="A28" s="5"/>
      <c r="B28" s="13">
        <v>6</v>
      </c>
      <c r="C28" s="25"/>
      <c r="D28">
        <f t="shared" si="24"/>
        <v>0</v>
      </c>
      <c r="E28">
        <f t="shared" si="0"/>
        <v>0</v>
      </c>
      <c r="F28" s="25"/>
      <c r="G28" s="28"/>
      <c r="I28" s="5"/>
      <c r="J28" s="13">
        <v>6</v>
      </c>
      <c r="K28" s="25"/>
      <c r="L28">
        <f t="shared" si="25"/>
        <v>0</v>
      </c>
      <c r="M28">
        <f t="shared" si="1"/>
        <v>0</v>
      </c>
      <c r="N28" s="25"/>
      <c r="O28" s="28"/>
      <c r="Q28" s="5"/>
      <c r="R28" s="13">
        <v>6</v>
      </c>
      <c r="S28" s="25"/>
      <c r="T28">
        <f t="shared" si="26"/>
        <v>0</v>
      </c>
      <c r="U28">
        <f t="shared" si="2"/>
        <v>0</v>
      </c>
      <c r="V28" s="25"/>
      <c r="W28" s="28"/>
    </row>
    <row r="29" spans="1:23" x14ac:dyDescent="0.2">
      <c r="A29" s="7"/>
      <c r="B29" s="14">
        <v>6</v>
      </c>
      <c r="C29" s="26"/>
      <c r="D29" s="9">
        <f t="shared" si="24"/>
        <v>0</v>
      </c>
      <c r="E29" s="9">
        <f t="shared" si="0"/>
        <v>0</v>
      </c>
      <c r="F29" s="26"/>
      <c r="G29" s="29"/>
      <c r="I29" s="7"/>
      <c r="J29" s="14">
        <v>6</v>
      </c>
      <c r="K29" s="26"/>
      <c r="L29" s="9">
        <f t="shared" si="25"/>
        <v>0</v>
      </c>
      <c r="M29" s="9">
        <f t="shared" si="1"/>
        <v>0</v>
      </c>
      <c r="N29" s="26"/>
      <c r="O29" s="29"/>
      <c r="Q29" s="7"/>
      <c r="R29" s="14">
        <v>6</v>
      </c>
      <c r="S29" s="26"/>
      <c r="T29" s="9">
        <f t="shared" si="26"/>
        <v>0</v>
      </c>
      <c r="U29" s="9">
        <f t="shared" si="2"/>
        <v>0</v>
      </c>
      <c r="V29" s="26"/>
      <c r="W29" s="29"/>
    </row>
    <row r="30" spans="1:23" x14ac:dyDescent="0.2">
      <c r="A30">
        <v>0</v>
      </c>
      <c r="B30">
        <v>6.25</v>
      </c>
      <c r="I30">
        <v>0</v>
      </c>
      <c r="J30">
        <v>6.5</v>
      </c>
      <c r="Q30">
        <v>0</v>
      </c>
      <c r="R30">
        <v>6</v>
      </c>
    </row>
    <row r="31" spans="1:23" x14ac:dyDescent="0.2">
      <c r="A31">
        <v>0</v>
      </c>
      <c r="B31">
        <v>6</v>
      </c>
      <c r="I31">
        <v>0</v>
      </c>
      <c r="J31">
        <v>6.5</v>
      </c>
      <c r="Q31">
        <v>0</v>
      </c>
      <c r="R31">
        <v>6</v>
      </c>
    </row>
    <row r="32" spans="1:23" x14ac:dyDescent="0.2">
      <c r="A32">
        <v>0</v>
      </c>
      <c r="B32">
        <v>6.25</v>
      </c>
      <c r="I32">
        <v>0</v>
      </c>
      <c r="J32">
        <v>6</v>
      </c>
      <c r="Q32">
        <v>0</v>
      </c>
      <c r="R32">
        <v>6</v>
      </c>
    </row>
  </sheetData>
  <mergeCells count="84">
    <mergeCell ref="W6:W8"/>
    <mergeCell ref="F18:F20"/>
    <mergeCell ref="G9:G11"/>
    <mergeCell ref="G18:G20"/>
    <mergeCell ref="G15:G17"/>
    <mergeCell ref="F9:F11"/>
    <mergeCell ref="F12:F14"/>
    <mergeCell ref="S27:S29"/>
    <mergeCell ref="V27:V29"/>
    <mergeCell ref="S6:S8"/>
    <mergeCell ref="O21:O23"/>
    <mergeCell ref="S21:S23"/>
    <mergeCell ref="O18:O20"/>
    <mergeCell ref="V6:V8"/>
    <mergeCell ref="O24:O26"/>
    <mergeCell ref="S12:S14"/>
    <mergeCell ref="O9:O11"/>
    <mergeCell ref="S18:S20"/>
    <mergeCell ref="S15:S17"/>
    <mergeCell ref="S24:S26"/>
    <mergeCell ref="K24:K26"/>
    <mergeCell ref="K27:K29"/>
    <mergeCell ref="F15:F17"/>
    <mergeCell ref="N9:N11"/>
    <mergeCell ref="N21:N23"/>
    <mergeCell ref="G12:G14"/>
    <mergeCell ref="K21:K23"/>
    <mergeCell ref="N27:N29"/>
    <mergeCell ref="F21:F23"/>
    <mergeCell ref="G24:G26"/>
    <mergeCell ref="G27:G29"/>
    <mergeCell ref="G6:G8"/>
    <mergeCell ref="K18:K20"/>
    <mergeCell ref="G21:G23"/>
    <mergeCell ref="K15:K17"/>
    <mergeCell ref="K12:K14"/>
    <mergeCell ref="K9:K11"/>
    <mergeCell ref="K6:K8"/>
    <mergeCell ref="W24:W26"/>
    <mergeCell ref="W27:W29"/>
    <mergeCell ref="S3:S5"/>
    <mergeCell ref="O27:O29"/>
    <mergeCell ref="N6:N8"/>
    <mergeCell ref="N24:N26"/>
    <mergeCell ref="V9:V11"/>
    <mergeCell ref="O3:O5"/>
    <mergeCell ref="N18:N20"/>
    <mergeCell ref="O15:O17"/>
    <mergeCell ref="O12:O14"/>
    <mergeCell ref="N15:N17"/>
    <mergeCell ref="N12:N14"/>
    <mergeCell ref="O6:O8"/>
    <mergeCell ref="V24:V26"/>
    <mergeCell ref="W9:W11"/>
    <mergeCell ref="S9:S11"/>
    <mergeCell ref="V21:V23"/>
    <mergeCell ref="W15:W17"/>
    <mergeCell ref="W18:W20"/>
    <mergeCell ref="W21:W23"/>
    <mergeCell ref="W12:W14"/>
    <mergeCell ref="V12:V14"/>
    <mergeCell ref="V15:V17"/>
    <mergeCell ref="V18:V20"/>
    <mergeCell ref="F27:F29"/>
    <mergeCell ref="C24:C26"/>
    <mergeCell ref="F6:F8"/>
    <mergeCell ref="C3:C5"/>
    <mergeCell ref="F24:F26"/>
    <mergeCell ref="C18:C20"/>
    <mergeCell ref="F3:F5"/>
    <mergeCell ref="C12:C14"/>
    <mergeCell ref="C27:C29"/>
    <mergeCell ref="C6:C8"/>
    <mergeCell ref="C21:C23"/>
    <mergeCell ref="C15:C17"/>
    <mergeCell ref="C9:C11"/>
    <mergeCell ref="A1:G1"/>
    <mergeCell ref="I1:O1"/>
    <mergeCell ref="Q1:W1"/>
    <mergeCell ref="K3:K5"/>
    <mergeCell ref="N3:N5"/>
    <mergeCell ref="G3:G5"/>
    <mergeCell ref="V3:V5"/>
    <mergeCell ref="W3:W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topLeftCell="B19" zoomScale="259" workbookViewId="0">
      <selection activeCell="D31" sqref="D31"/>
    </sheetView>
  </sheetViews>
  <sheetFormatPr baseColWidth="10" defaultColWidth="9" defaultRowHeight="15" x14ac:dyDescent="0.2"/>
  <cols>
    <col min="2" max="2" width="18" customWidth="1"/>
    <col min="4" max="4" width="11.5" customWidth="1"/>
    <col min="5" max="5" width="13.1640625" customWidth="1"/>
  </cols>
  <sheetData>
    <row r="1" spans="1:7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v>1</v>
      </c>
      <c r="B2" s="3">
        <v>0.628</v>
      </c>
      <c r="C2" s="24">
        <f>(SUM(B2:B4)/3)</f>
        <v>0.6323333333333333</v>
      </c>
      <c r="D2" s="4">
        <f>(B2-C2)</f>
        <v>-4.3333333333333002E-3</v>
      </c>
      <c r="E2" s="4">
        <f>(D2*D2)</f>
        <v>1.8777777777777489E-5</v>
      </c>
      <c r="F2" s="24">
        <f>(SQRT(SUM(E2:E4)/2))</f>
        <v>3.7859388972001857E-3</v>
      </c>
      <c r="G2" s="27">
        <f>((F2/C2)*100)</f>
        <v>0.59872518142332931</v>
      </c>
    </row>
    <row r="3" spans="1:7" x14ac:dyDescent="0.2">
      <c r="A3" s="5"/>
      <c r="B3" s="6">
        <v>0.63500000000000001</v>
      </c>
      <c r="C3" s="25"/>
      <c r="D3">
        <f>(B3-C2)</f>
        <v>2.666666666666706E-3</v>
      </c>
      <c r="E3">
        <f t="shared" ref="E3:E28" si="0">(D3*D3)</f>
        <v>7.111111111111321E-6</v>
      </c>
      <c r="F3" s="25"/>
      <c r="G3" s="28"/>
    </row>
    <row r="4" spans="1:7" x14ac:dyDescent="0.2">
      <c r="A4" s="7"/>
      <c r="B4" s="8">
        <v>0.63400000000000001</v>
      </c>
      <c r="C4" s="26"/>
      <c r="D4" s="9">
        <f>(B4-C2)</f>
        <v>1.6666666666667052E-3</v>
      </c>
      <c r="E4" s="9">
        <f t="shared" si="0"/>
        <v>2.7777777777779062E-6</v>
      </c>
      <c r="F4" s="26"/>
      <c r="G4" s="29"/>
    </row>
    <row r="5" spans="1:7" x14ac:dyDescent="0.2">
      <c r="A5" s="2">
        <v>2</v>
      </c>
      <c r="B5" s="3">
        <v>0.63100000000000001</v>
      </c>
      <c r="C5" s="24">
        <f>(SUM(B5:B7)/3)</f>
        <v>0.629</v>
      </c>
      <c r="D5" s="4">
        <f>(B5-C$5)</f>
        <v>2.0000000000000018E-3</v>
      </c>
      <c r="E5" s="4">
        <f t="shared" si="0"/>
        <v>4.0000000000000074E-6</v>
      </c>
      <c r="F5" s="24">
        <f t="shared" ref="F5" si="1">(SQRT(SUM(E5:E7)/2))</f>
        <v>1.7320508075688791E-3</v>
      </c>
      <c r="G5" s="27">
        <f t="shared" ref="G5" si="2">((F5/C5)*100)</f>
        <v>0.27536578816675344</v>
      </c>
    </row>
    <row r="6" spans="1:7" x14ac:dyDescent="0.2">
      <c r="A6" s="5"/>
      <c r="B6" s="6">
        <v>0.628</v>
      </c>
      <c r="C6" s="25"/>
      <c r="D6">
        <f t="shared" ref="D6:D7" si="3">(B6-C$5)</f>
        <v>-1.0000000000000009E-3</v>
      </c>
      <c r="E6">
        <f t="shared" si="0"/>
        <v>1.0000000000000019E-6</v>
      </c>
      <c r="F6" s="25"/>
      <c r="G6" s="28"/>
    </row>
    <row r="7" spans="1:7" x14ac:dyDescent="0.2">
      <c r="A7" s="7"/>
      <c r="B7" s="8">
        <v>0.628</v>
      </c>
      <c r="C7" s="26"/>
      <c r="D7" s="9">
        <f t="shared" si="3"/>
        <v>-1.0000000000000009E-3</v>
      </c>
      <c r="E7" s="9">
        <f t="shared" si="0"/>
        <v>1.0000000000000019E-6</v>
      </c>
      <c r="F7" s="26"/>
      <c r="G7" s="29"/>
    </row>
    <row r="8" spans="1:7" x14ac:dyDescent="0.2">
      <c r="A8" s="2">
        <v>3</v>
      </c>
      <c r="B8" s="3">
        <v>0.59899999999999998</v>
      </c>
      <c r="C8" s="24">
        <f t="shared" ref="C8" si="4">(SUM(B8:B10)/3)</f>
        <v>0.60699999999999998</v>
      </c>
      <c r="D8" s="4">
        <f>(B8-C$8)</f>
        <v>-8.0000000000000071E-3</v>
      </c>
      <c r="E8" s="4">
        <f t="shared" si="0"/>
        <v>6.4000000000000119E-5</v>
      </c>
      <c r="F8" s="24">
        <f t="shared" ref="F8" si="5">(SQRT(SUM(E8:E10)/2))</f>
        <v>7.2111025509279851E-3</v>
      </c>
      <c r="G8" s="27">
        <f t="shared" ref="G8" si="6">((F8/C8)*100)</f>
        <v>1.1879905355729794</v>
      </c>
    </row>
    <row r="9" spans="1:7" x14ac:dyDescent="0.2">
      <c r="A9" s="5"/>
      <c r="B9" s="6">
        <v>0.60899999999999999</v>
      </c>
      <c r="C9" s="25"/>
      <c r="D9">
        <f t="shared" ref="D9:D10" si="7">(B9-C$8)</f>
        <v>2.0000000000000018E-3</v>
      </c>
      <c r="E9">
        <f t="shared" si="0"/>
        <v>4.0000000000000074E-6</v>
      </c>
      <c r="F9" s="25"/>
      <c r="G9" s="28"/>
    </row>
    <row r="10" spans="1:7" x14ac:dyDescent="0.2">
      <c r="A10" s="7"/>
      <c r="B10" s="8">
        <v>0.61299999999999999</v>
      </c>
      <c r="C10" s="26"/>
      <c r="D10" s="9">
        <f t="shared" si="7"/>
        <v>6.0000000000000053E-3</v>
      </c>
      <c r="E10" s="9">
        <f t="shared" si="0"/>
        <v>3.6000000000000062E-5</v>
      </c>
      <c r="F10" s="26"/>
      <c r="G10" s="29"/>
    </row>
    <row r="11" spans="1:7" x14ac:dyDescent="0.2">
      <c r="A11" s="2">
        <v>4</v>
      </c>
      <c r="B11" s="3">
        <v>0.625</v>
      </c>
      <c r="C11" s="24">
        <f t="shared" ref="C11" si="8">(SUM(B11:B13)/3)</f>
        <v>0.62</v>
      </c>
      <c r="D11" s="4">
        <f>(B11-C$11)</f>
        <v>5.0000000000000044E-3</v>
      </c>
      <c r="E11" s="4">
        <f t="shared" si="0"/>
        <v>2.5000000000000045E-5</v>
      </c>
      <c r="F11" s="24">
        <f t="shared" ref="F11" si="9">(SQRT(SUM(E11:E13)/2))</f>
        <v>9.5393920141694649E-3</v>
      </c>
      <c r="G11" s="27">
        <f t="shared" ref="G11" si="10">((F11/C11)*100)</f>
        <v>1.5386116151886235</v>
      </c>
    </row>
    <row r="12" spans="1:7" x14ac:dyDescent="0.2">
      <c r="A12" s="5"/>
      <c r="B12" s="6">
        <v>0.60899999999999999</v>
      </c>
      <c r="C12" s="25"/>
      <c r="D12">
        <f t="shared" ref="D12:D13" si="11">(B12-C$11)</f>
        <v>-1.100000000000001E-2</v>
      </c>
      <c r="E12">
        <f t="shared" si="0"/>
        <v>1.2100000000000022E-4</v>
      </c>
      <c r="F12" s="25"/>
      <c r="G12" s="28"/>
    </row>
    <row r="13" spans="1:7" x14ac:dyDescent="0.2">
      <c r="A13" s="7"/>
      <c r="B13" s="8">
        <v>0.626</v>
      </c>
      <c r="C13" s="26"/>
      <c r="D13" s="9">
        <f t="shared" si="11"/>
        <v>6.0000000000000053E-3</v>
      </c>
      <c r="E13" s="9">
        <f t="shared" si="0"/>
        <v>3.6000000000000062E-5</v>
      </c>
      <c r="F13" s="26"/>
      <c r="G13" s="29"/>
    </row>
    <row r="14" spans="1:7" x14ac:dyDescent="0.2">
      <c r="A14" s="2">
        <v>5</v>
      </c>
      <c r="B14" s="3">
        <v>0.59599999999999997</v>
      </c>
      <c r="C14" s="24">
        <f t="shared" ref="C14" si="12">(SUM(B14:B16)/3)</f>
        <v>0.57866666666666655</v>
      </c>
      <c r="D14" s="4">
        <f>(B14-C$14)</f>
        <v>1.7333333333333423E-2</v>
      </c>
      <c r="E14" s="4">
        <f t="shared" si="0"/>
        <v>3.0044444444444752E-4</v>
      </c>
      <c r="F14" s="24">
        <f t="shared" ref="F14" si="13">(SQRT(SUM(E14:E16)/2))</f>
        <v>1.7502380790433394E-2</v>
      </c>
      <c r="G14" s="27">
        <f t="shared" ref="G14" si="14">((F14/C14)*100)</f>
        <v>3.0246049753053108</v>
      </c>
    </row>
    <row r="15" spans="1:7" x14ac:dyDescent="0.2">
      <c r="A15" s="5"/>
      <c r="B15" s="6">
        <v>0.57899999999999996</v>
      </c>
      <c r="C15" s="25"/>
      <c r="D15">
        <f t="shared" ref="D15:D16" si="15">(B15-C$14)</f>
        <v>3.3333333333340764E-4</v>
      </c>
      <c r="E15">
        <f t="shared" si="0"/>
        <v>1.1111111111116065E-7</v>
      </c>
      <c r="F15" s="25"/>
      <c r="G15" s="28"/>
    </row>
    <row r="16" spans="1:7" x14ac:dyDescent="0.2">
      <c r="A16" s="7"/>
      <c r="B16" s="8">
        <v>0.56100000000000005</v>
      </c>
      <c r="C16" s="26"/>
      <c r="D16" s="9">
        <f t="shared" si="15"/>
        <v>-1.7666666666666497E-2</v>
      </c>
      <c r="E16" s="9">
        <f t="shared" si="0"/>
        <v>3.1211111111110513E-4</v>
      </c>
      <c r="F16" s="26"/>
      <c r="G16" s="29"/>
    </row>
    <row r="17" spans="1:7" x14ac:dyDescent="0.2">
      <c r="A17" s="2">
        <v>6</v>
      </c>
      <c r="B17" s="3">
        <v>0.57899999999999996</v>
      </c>
      <c r="C17" s="24">
        <f t="shared" ref="C17" si="16">(SUM(B17:B19)/3)</f>
        <v>0.56866666666666665</v>
      </c>
      <c r="D17" s="4">
        <f>(B17-C$17)</f>
        <v>1.0333333333333306E-2</v>
      </c>
      <c r="E17" s="4">
        <f t="shared" si="0"/>
        <v>1.067777777777772E-4</v>
      </c>
      <c r="F17" s="24">
        <f t="shared" ref="F17" si="17">(SQRT(SUM(E17:E19)/2))</f>
        <v>1.050396750439244E-2</v>
      </c>
      <c r="G17" s="27">
        <f t="shared" ref="G17" si="18">((F17/C17)*100)</f>
        <v>1.8471220699400541</v>
      </c>
    </row>
    <row r="18" spans="1:7" x14ac:dyDescent="0.2">
      <c r="A18" s="5"/>
      <c r="B18" s="6">
        <v>0.56899999999999995</v>
      </c>
      <c r="C18" s="25"/>
      <c r="D18">
        <f t="shared" ref="D18:D19" si="19">(B18-C$17)</f>
        <v>3.3333333333329662E-4</v>
      </c>
      <c r="E18">
        <f t="shared" si="0"/>
        <v>1.1111111111108664E-7</v>
      </c>
      <c r="F18" s="25"/>
      <c r="G18" s="28"/>
    </row>
    <row r="19" spans="1:7" x14ac:dyDescent="0.2">
      <c r="A19" s="7"/>
      <c r="B19" s="8">
        <v>0.55800000000000005</v>
      </c>
      <c r="C19" s="26"/>
      <c r="D19" s="9">
        <f t="shared" si="19"/>
        <v>-1.0666666666666602E-2</v>
      </c>
      <c r="E19" s="9">
        <f t="shared" si="0"/>
        <v>1.1377777777777641E-4</v>
      </c>
      <c r="F19" s="26"/>
      <c r="G19" s="29"/>
    </row>
    <row r="20" spans="1:7" x14ac:dyDescent="0.2">
      <c r="A20" s="2">
        <v>7</v>
      </c>
      <c r="B20" s="3">
        <v>0.627</v>
      </c>
      <c r="C20" s="24">
        <f t="shared" ref="C20" si="20">(SUM(B20:B22)/3)</f>
        <v>0.6256666666666667</v>
      </c>
      <c r="D20" s="4">
        <f>(B20-C$20)</f>
        <v>1.3333333333332975E-3</v>
      </c>
      <c r="E20" s="4">
        <f t="shared" si="0"/>
        <v>1.7777777777776822E-6</v>
      </c>
      <c r="F20" s="24">
        <f t="shared" ref="F20" si="21">(SQRT(SUM(E20:E22)/2))</f>
        <v>3.2145502536643214E-3</v>
      </c>
      <c r="G20" s="27">
        <f t="shared" ref="G20" si="22">((F20/C20)*100)</f>
        <v>0.51378000857714246</v>
      </c>
    </row>
    <row r="21" spans="1:7" x14ac:dyDescent="0.2">
      <c r="A21" s="5"/>
      <c r="B21" s="6">
        <v>0.622</v>
      </c>
      <c r="C21" s="25"/>
      <c r="D21">
        <f t="shared" ref="D21:D22" si="23">(B21-C$20)</f>
        <v>-3.6666666666667069E-3</v>
      </c>
      <c r="E21">
        <f t="shared" si="0"/>
        <v>1.344444444444474E-5</v>
      </c>
      <c r="F21" s="25"/>
      <c r="G21" s="28"/>
    </row>
    <row r="22" spans="1:7" x14ac:dyDescent="0.2">
      <c r="A22" s="7"/>
      <c r="B22" s="8">
        <v>0.628</v>
      </c>
      <c r="C22" s="26"/>
      <c r="D22" s="9">
        <f t="shared" si="23"/>
        <v>2.3333333333332984E-3</v>
      </c>
      <c r="E22" s="9">
        <f t="shared" si="0"/>
        <v>5.4444444444442813E-6</v>
      </c>
      <c r="F22" s="26"/>
      <c r="G22" s="29"/>
    </row>
    <row r="23" spans="1:7" x14ac:dyDescent="0.2">
      <c r="A23" s="2">
        <v>8</v>
      </c>
      <c r="B23" s="3">
        <v>0.622</v>
      </c>
      <c r="C23" s="24">
        <f t="shared" ref="C23" si="24">(SUM(B23:B25)/3)</f>
        <v>0.6193333333333334</v>
      </c>
      <c r="D23" s="4">
        <f>(B23-C$23)</f>
        <v>2.666666666666595E-3</v>
      </c>
      <c r="E23" s="4">
        <f t="shared" si="0"/>
        <v>7.111111111110729E-6</v>
      </c>
      <c r="F23" s="24">
        <f t="shared" ref="F23" si="25">(SQRT(SUM(E23:E25)/2))</f>
        <v>2.3094010767585054E-3</v>
      </c>
      <c r="G23" s="27">
        <f t="shared" ref="G23" si="26">((F23/C23)*100)</f>
        <v>0.37288499624733668</v>
      </c>
    </row>
    <row r="24" spans="1:7" x14ac:dyDescent="0.2">
      <c r="A24" s="5"/>
      <c r="B24" s="6">
        <v>0.61799999999999999</v>
      </c>
      <c r="C24" s="25"/>
      <c r="D24">
        <f t="shared" ref="D24:D25" si="27">(B24-C$23)</f>
        <v>-1.3333333333334085E-3</v>
      </c>
      <c r="E24">
        <f t="shared" si="0"/>
        <v>1.7777777777779783E-6</v>
      </c>
      <c r="F24" s="25"/>
      <c r="G24" s="28"/>
    </row>
    <row r="25" spans="1:7" x14ac:dyDescent="0.2">
      <c r="A25" s="7"/>
      <c r="B25" s="8">
        <v>0.61799999999999999</v>
      </c>
      <c r="C25" s="26"/>
      <c r="D25" s="9">
        <f t="shared" si="27"/>
        <v>-1.3333333333334085E-3</v>
      </c>
      <c r="E25" s="9">
        <f t="shared" si="0"/>
        <v>1.7777777777779783E-6</v>
      </c>
      <c r="F25" s="26"/>
      <c r="G25" s="29"/>
    </row>
    <row r="26" spans="1:7" x14ac:dyDescent="0.2">
      <c r="A26" s="2">
        <v>9</v>
      </c>
      <c r="B26" s="11">
        <v>0.60799999999999998</v>
      </c>
      <c r="C26" s="24">
        <f t="shared" ref="C26" si="28">(SUM(B26:B28)/3)</f>
        <v>0.60733333333333339</v>
      </c>
      <c r="D26" s="4">
        <f>(B26-C$26)</f>
        <v>6.6666666666659324E-4</v>
      </c>
      <c r="E26" s="4">
        <f t="shared" si="0"/>
        <v>4.4444444444434655E-7</v>
      </c>
      <c r="F26" s="24">
        <f t="shared" ref="F26" si="29">(SQRT(SUM(E26:E28)/2))</f>
        <v>1.1547005383792527E-3</v>
      </c>
      <c r="G26" s="27">
        <f t="shared" ref="G26" si="30">((F26/C26)*100)</f>
        <v>0.19012632355311512</v>
      </c>
    </row>
    <row r="27" spans="1:7" x14ac:dyDescent="0.2">
      <c r="A27" s="5"/>
      <c r="B27" s="6">
        <v>0.60599999999999998</v>
      </c>
      <c r="C27" s="25"/>
      <c r="D27">
        <f t="shared" ref="D27:D28" si="31">(B27-C$26)</f>
        <v>-1.3333333333334085E-3</v>
      </c>
      <c r="E27">
        <f t="shared" si="0"/>
        <v>1.7777777777779783E-6</v>
      </c>
      <c r="F27" s="25"/>
      <c r="G27" s="28"/>
    </row>
    <row r="28" spans="1:7" x14ac:dyDescent="0.2">
      <c r="A28" s="7"/>
      <c r="B28" s="6">
        <v>0.60799999999999998</v>
      </c>
      <c r="C28" s="26"/>
      <c r="D28" s="9">
        <f t="shared" si="31"/>
        <v>6.6666666666659324E-4</v>
      </c>
      <c r="E28" s="9">
        <f t="shared" si="0"/>
        <v>4.4444444444434655E-7</v>
      </c>
      <c r="F28" s="26"/>
      <c r="G28" s="29"/>
    </row>
    <row r="29" spans="1:7" x14ac:dyDescent="0.2">
      <c r="A29">
        <v>0</v>
      </c>
      <c r="B29">
        <v>0.65100000000000002</v>
      </c>
    </row>
    <row r="30" spans="1:7" x14ac:dyDescent="0.2">
      <c r="A30">
        <v>0</v>
      </c>
      <c r="B30">
        <v>0.66400000000000003</v>
      </c>
    </row>
    <row r="31" spans="1:7" x14ac:dyDescent="0.2">
      <c r="A31">
        <v>0</v>
      </c>
      <c r="B31">
        <v>0.66200000000000003</v>
      </c>
    </row>
  </sheetData>
  <mergeCells count="27">
    <mergeCell ref="G20:G22"/>
    <mergeCell ref="G14:G16"/>
    <mergeCell ref="G11:G13"/>
    <mergeCell ref="G8:G10"/>
    <mergeCell ref="F11:F13"/>
    <mergeCell ref="G17:G19"/>
    <mergeCell ref="G5:G7"/>
    <mergeCell ref="F2:F4"/>
    <mergeCell ref="G23:G25"/>
    <mergeCell ref="C26:C28"/>
    <mergeCell ref="C5:C7"/>
    <mergeCell ref="C20:C22"/>
    <mergeCell ref="C14:C16"/>
    <mergeCell ref="C8:C10"/>
    <mergeCell ref="F26:F28"/>
    <mergeCell ref="F5:F7"/>
    <mergeCell ref="F20:F22"/>
    <mergeCell ref="F14:F16"/>
    <mergeCell ref="F8:F10"/>
    <mergeCell ref="G26:G28"/>
    <mergeCell ref="G2:G4"/>
    <mergeCell ref="F17:F19"/>
    <mergeCell ref="C2:C4"/>
    <mergeCell ref="C23:C25"/>
    <mergeCell ref="C17:C19"/>
    <mergeCell ref="C11:C13"/>
    <mergeCell ref="F23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topLeftCell="A13" zoomScale="117" workbookViewId="0">
      <selection activeCell="E32" sqref="E32"/>
    </sheetView>
  </sheetViews>
  <sheetFormatPr baseColWidth="10" defaultColWidth="9" defaultRowHeight="15" x14ac:dyDescent="0.2"/>
  <cols>
    <col min="2" max="2" width="18" customWidth="1"/>
    <col min="4" max="4" width="11.5" customWidth="1"/>
    <col min="5" max="5" width="13.1640625" customWidth="1"/>
  </cols>
  <sheetData>
    <row r="1" spans="1:7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v>1</v>
      </c>
      <c r="B2" s="3">
        <v>10.38</v>
      </c>
      <c r="C2" s="24">
        <f>(SUM(B2:B4)/3)</f>
        <v>10.403333333333334</v>
      </c>
      <c r="D2" s="4">
        <f>(B2-C2)</f>
        <v>-2.3333333333333428E-2</v>
      </c>
      <c r="E2" s="4">
        <f>(D2*D2)</f>
        <v>5.4444444444444885E-4</v>
      </c>
      <c r="F2" s="24">
        <f>(SQRT(SUM(E2:E4)/2))</f>
        <v>5.8594652770823576E-2</v>
      </c>
      <c r="G2" s="27">
        <f>((F2/C2)*100)</f>
        <v>0.56322960048853166</v>
      </c>
    </row>
    <row r="3" spans="1:7" x14ac:dyDescent="0.2">
      <c r="A3" s="5"/>
      <c r="B3" s="6">
        <v>10.47</v>
      </c>
      <c r="C3" s="25"/>
      <c r="D3">
        <f>(B3-C2)</f>
        <v>6.666666666666643E-2</v>
      </c>
      <c r="E3">
        <f t="shared" ref="E3:E28" si="0">(D3*D3)</f>
        <v>4.4444444444444132E-3</v>
      </c>
      <c r="F3" s="25"/>
      <c r="G3" s="28"/>
    </row>
    <row r="4" spans="1:7" x14ac:dyDescent="0.2">
      <c r="A4" s="7"/>
      <c r="B4" s="8">
        <v>10.36</v>
      </c>
      <c r="C4" s="26"/>
      <c r="D4" s="9">
        <f>(B4-C2)</f>
        <v>-4.3333333333334778E-2</v>
      </c>
      <c r="E4" s="9">
        <f t="shared" si="0"/>
        <v>1.877777777777903E-3</v>
      </c>
      <c r="F4" s="26"/>
      <c r="G4" s="29"/>
    </row>
    <row r="5" spans="1:7" x14ac:dyDescent="0.2">
      <c r="A5" s="2">
        <v>2</v>
      </c>
      <c r="B5" s="3">
        <v>9.91</v>
      </c>
      <c r="C5" s="24">
        <f>(SUM(B5:B7)/3)</f>
        <v>9.9</v>
      </c>
      <c r="D5" s="4">
        <f>(B5-C$5)</f>
        <v>9.9999999999997868E-3</v>
      </c>
      <c r="E5" s="4">
        <f t="shared" si="0"/>
        <v>9.9999999999995736E-5</v>
      </c>
      <c r="F5" s="24">
        <f t="shared" ref="F5" si="1">(SQRT(SUM(E5:E7)/2))</f>
        <v>0.20518284528683201</v>
      </c>
      <c r="G5" s="27">
        <f t="shared" ref="G5" si="2">((F5/C5)*100)</f>
        <v>2.0725539927962831</v>
      </c>
    </row>
    <row r="6" spans="1:7" x14ac:dyDescent="0.2">
      <c r="A6" s="5"/>
      <c r="B6" s="6">
        <v>9.69</v>
      </c>
      <c r="C6" s="25"/>
      <c r="D6">
        <f t="shared" ref="D6:D7" si="3">(B6-C$5)</f>
        <v>-0.21000000000000085</v>
      </c>
      <c r="E6">
        <f t="shared" si="0"/>
        <v>4.4100000000000361E-2</v>
      </c>
      <c r="F6" s="25"/>
      <c r="G6" s="28"/>
    </row>
    <row r="7" spans="1:7" x14ac:dyDescent="0.2">
      <c r="A7" s="7"/>
      <c r="B7" s="10">
        <v>10.1</v>
      </c>
      <c r="C7" s="26"/>
      <c r="D7" s="9">
        <f t="shared" si="3"/>
        <v>0.19999999999999929</v>
      </c>
      <c r="E7" s="9">
        <f t="shared" si="0"/>
        <v>3.9999999999999716E-2</v>
      </c>
      <c r="F7" s="26"/>
      <c r="G7" s="29"/>
    </row>
    <row r="8" spans="1:7" x14ac:dyDescent="0.2">
      <c r="A8" s="2">
        <v>3</v>
      </c>
      <c r="B8" s="3">
        <v>9.83</v>
      </c>
      <c r="C8" s="24">
        <f t="shared" ref="C8" si="4">(SUM(B8:B10)/3)</f>
        <v>9.7566666666666659</v>
      </c>
      <c r="D8" s="4">
        <f>(B8-C$8)</f>
        <v>7.3333333333334139E-2</v>
      </c>
      <c r="E8" s="4">
        <f t="shared" si="0"/>
        <v>5.3777777777778962E-3</v>
      </c>
      <c r="F8" s="24">
        <f t="shared" ref="F8" si="5">(SQRT(SUM(E8:E10)/2))</f>
        <v>6.6583281184794244E-2</v>
      </c>
      <c r="G8" s="27">
        <f t="shared" ref="G8" si="6">((F8/C8)*100)</f>
        <v>0.68243882321278693</v>
      </c>
    </row>
    <row r="9" spans="1:7" x14ac:dyDescent="0.2">
      <c r="A9" s="5"/>
      <c r="B9" s="6">
        <v>9.74</v>
      </c>
      <c r="C9" s="25"/>
      <c r="D9">
        <f t="shared" ref="D9:D10" si="7">(B9-C$8)</f>
        <v>-1.6666666666665719E-2</v>
      </c>
      <c r="E9">
        <f t="shared" si="0"/>
        <v>2.7777777777774617E-4</v>
      </c>
      <c r="F9" s="25"/>
      <c r="G9" s="28"/>
    </row>
    <row r="10" spans="1:7" x14ac:dyDescent="0.2">
      <c r="A10" s="7"/>
      <c r="B10" s="10">
        <v>9.6999999999999993</v>
      </c>
      <c r="C10" s="26"/>
      <c r="D10" s="9">
        <f t="shared" si="7"/>
        <v>-5.6666666666666643E-2</v>
      </c>
      <c r="E10" s="9">
        <f t="shared" si="0"/>
        <v>3.2111111111111086E-3</v>
      </c>
      <c r="F10" s="26"/>
      <c r="G10" s="29"/>
    </row>
    <row r="11" spans="1:7" x14ac:dyDescent="0.2">
      <c r="A11" s="2">
        <v>4</v>
      </c>
      <c r="B11" s="3">
        <v>10.29</v>
      </c>
      <c r="C11" s="24">
        <f t="shared" ref="C11" si="8">(SUM(B11:B13)/3)</f>
        <v>10.133333333333333</v>
      </c>
      <c r="D11" s="4">
        <f>(B11-C$11)</f>
        <v>0.15666666666666629</v>
      </c>
      <c r="E11" s="4">
        <f t="shared" si="0"/>
        <v>2.4544444444444327E-2</v>
      </c>
      <c r="F11" s="24">
        <f t="shared" ref="F11" si="9">(SQRT(SUM(E11:E13)/2))</f>
        <v>0.23755701070129115</v>
      </c>
      <c r="G11" s="27">
        <f t="shared" ref="G11" si="10">((F11/C11)*100)</f>
        <v>2.3443126056048471</v>
      </c>
    </row>
    <row r="12" spans="1:7" x14ac:dyDescent="0.2">
      <c r="A12" s="5"/>
      <c r="B12" s="6">
        <v>9.86</v>
      </c>
      <c r="C12" s="25"/>
      <c r="D12">
        <f t="shared" ref="D12:D13" si="11">(B12-C$11)</f>
        <v>-0.27333333333333343</v>
      </c>
      <c r="E12">
        <f t="shared" si="0"/>
        <v>7.4711111111111159E-2</v>
      </c>
      <c r="F12" s="25"/>
      <c r="G12" s="28"/>
    </row>
    <row r="13" spans="1:7" x14ac:dyDescent="0.2">
      <c r="A13" s="7"/>
      <c r="B13" s="8">
        <v>10.25</v>
      </c>
      <c r="C13" s="26"/>
      <c r="D13" s="9">
        <f t="shared" si="11"/>
        <v>0.11666666666666714</v>
      </c>
      <c r="E13" s="9">
        <f t="shared" si="0"/>
        <v>1.3611111111111221E-2</v>
      </c>
      <c r="F13" s="26"/>
      <c r="G13" s="29"/>
    </row>
    <row r="14" spans="1:7" x14ac:dyDescent="0.2">
      <c r="A14" s="2">
        <v>5</v>
      </c>
      <c r="B14" s="3">
        <v>8.83</v>
      </c>
      <c r="C14" s="24">
        <f t="shared" ref="C14" si="12">(SUM(B14:B16)/3)</f>
        <v>8.9300000000000015</v>
      </c>
      <c r="D14" s="4">
        <f>(B14-C$14)</f>
        <v>-0.10000000000000142</v>
      </c>
      <c r="E14" s="4">
        <f t="shared" si="0"/>
        <v>1.0000000000000285E-2</v>
      </c>
      <c r="F14" s="24">
        <f t="shared" ref="F14" si="13">(SQRT(SUM(E14:E16)/2))</f>
        <v>8.6602540378444073E-2</v>
      </c>
      <c r="G14" s="27">
        <f t="shared" ref="G14" si="14">((F14/C14)*100)</f>
        <v>0.9697932853129233</v>
      </c>
    </row>
    <row r="15" spans="1:7" x14ac:dyDescent="0.2">
      <c r="A15" s="5"/>
      <c r="B15" s="6">
        <v>8.98</v>
      </c>
      <c r="C15" s="25"/>
      <c r="D15">
        <f t="shared" ref="D15:D16" si="15">(B15-C$14)</f>
        <v>4.9999999999998934E-2</v>
      </c>
      <c r="E15">
        <f t="shared" si="0"/>
        <v>2.4999999999998934E-3</v>
      </c>
      <c r="F15" s="25"/>
      <c r="G15" s="28"/>
    </row>
    <row r="16" spans="1:7" x14ac:dyDescent="0.2">
      <c r="A16" s="7"/>
      <c r="B16" s="8">
        <v>8.98</v>
      </c>
      <c r="C16" s="26"/>
      <c r="D16" s="9">
        <f t="shared" si="15"/>
        <v>4.9999999999998934E-2</v>
      </c>
      <c r="E16" s="9">
        <f t="shared" si="0"/>
        <v>2.4999999999998934E-3</v>
      </c>
      <c r="F16" s="26"/>
      <c r="G16" s="29"/>
    </row>
    <row r="17" spans="1:7" x14ac:dyDescent="0.2">
      <c r="A17" s="2">
        <v>6</v>
      </c>
      <c r="B17" s="3">
        <v>8.34</v>
      </c>
      <c r="C17" s="24">
        <f t="shared" ref="C17" si="16">(SUM(B17:B19)/3)</f>
        <v>8.2899999999999991</v>
      </c>
      <c r="D17" s="4">
        <f>(B17-C$17)</f>
        <v>5.0000000000000711E-2</v>
      </c>
      <c r="E17" s="4">
        <f t="shared" si="0"/>
        <v>2.5000000000000712E-3</v>
      </c>
      <c r="F17" s="24">
        <f t="shared" ref="F17" si="17">(SQRT(SUM(E17:E19)/2))</f>
        <v>4.3588989435406823E-2</v>
      </c>
      <c r="G17" s="27">
        <f t="shared" ref="G17" si="18">((F17/C17)*100)</f>
        <v>0.52580204385291707</v>
      </c>
    </row>
    <row r="18" spans="1:7" x14ac:dyDescent="0.2">
      <c r="A18" s="5"/>
      <c r="B18" s="6">
        <v>8.27</v>
      </c>
      <c r="C18" s="25"/>
      <c r="D18">
        <f t="shared" ref="D18:D19" si="19">(B18-C$17)</f>
        <v>-1.9999999999999574E-2</v>
      </c>
      <c r="E18">
        <f t="shared" si="0"/>
        <v>3.9999999999998294E-4</v>
      </c>
      <c r="F18" s="25"/>
      <c r="G18" s="28"/>
    </row>
    <row r="19" spans="1:7" x14ac:dyDescent="0.2">
      <c r="A19" s="7"/>
      <c r="B19" s="8">
        <v>8.26</v>
      </c>
      <c r="C19" s="26"/>
      <c r="D19" s="9">
        <f t="shared" si="19"/>
        <v>-2.9999999999999361E-2</v>
      </c>
      <c r="E19" s="9">
        <f t="shared" si="0"/>
        <v>8.9999999999996159E-4</v>
      </c>
      <c r="F19" s="26"/>
      <c r="G19" s="29"/>
    </row>
    <row r="20" spans="1:7" x14ac:dyDescent="0.2">
      <c r="A20" s="2">
        <v>7</v>
      </c>
      <c r="B20" s="3">
        <v>8.85</v>
      </c>
      <c r="C20" s="24">
        <f t="shared" ref="C20" si="20">(SUM(B20:B22)/3)</f>
        <v>8.7866666666666671</v>
      </c>
      <c r="D20" s="4">
        <f>(B20-C$20)</f>
        <v>6.3333333333332575E-2</v>
      </c>
      <c r="E20" s="4">
        <f t="shared" si="0"/>
        <v>4.0111111111110148E-3</v>
      </c>
      <c r="F20" s="24">
        <f t="shared" ref="F20" si="21">(SQRT(SUM(E20:E22)/2))</f>
        <v>6.0277137733416725E-2</v>
      </c>
      <c r="G20" s="27">
        <f t="shared" ref="G20" si="22">((F20/C20)*100)</f>
        <v>0.6860068786048944</v>
      </c>
    </row>
    <row r="21" spans="1:7" x14ac:dyDescent="0.2">
      <c r="A21" s="5"/>
      <c r="B21" s="6">
        <v>8.7799999999999994</v>
      </c>
      <c r="C21" s="25"/>
      <c r="D21">
        <f t="shared" ref="D21:D22" si="23">(B21-C$20)</f>
        <v>-6.6666666666677088E-3</v>
      </c>
      <c r="E21">
        <f t="shared" si="0"/>
        <v>4.4444444444458338E-5</v>
      </c>
      <c r="F21" s="25"/>
      <c r="G21" s="28"/>
    </row>
    <row r="22" spans="1:7" x14ac:dyDescent="0.2">
      <c r="A22" s="7"/>
      <c r="B22" s="8">
        <v>8.73</v>
      </c>
      <c r="C22" s="26"/>
      <c r="D22" s="9">
        <f t="shared" si="23"/>
        <v>-5.6666666666666643E-2</v>
      </c>
      <c r="E22" s="9">
        <f t="shared" si="0"/>
        <v>3.2111111111111086E-3</v>
      </c>
      <c r="F22" s="26"/>
      <c r="G22" s="29"/>
    </row>
    <row r="23" spans="1:7" x14ac:dyDescent="0.2">
      <c r="A23" s="2">
        <v>8</v>
      </c>
      <c r="B23" s="3">
        <v>8.56</v>
      </c>
      <c r="C23" s="24">
        <f t="shared" ref="C23" si="24">(SUM(B23:B25)/3)</f>
        <v>8.5066666666666677</v>
      </c>
      <c r="D23" s="4">
        <f>(B23-C$23)</f>
        <v>5.3333333333332789E-2</v>
      </c>
      <c r="E23" s="4">
        <f t="shared" si="0"/>
        <v>2.8444444444443865E-3</v>
      </c>
      <c r="F23" s="24">
        <f t="shared" ref="F23" si="25">(SQRT(SUM(E23:E25)/2))</f>
        <v>0.10115993936995668</v>
      </c>
      <c r="G23" s="27">
        <f t="shared" ref="G23" si="26">((F23/C23)*100)</f>
        <v>1.1891842402424373</v>
      </c>
    </row>
    <row r="24" spans="1:7" x14ac:dyDescent="0.2">
      <c r="A24" s="5"/>
      <c r="B24" s="6">
        <v>8.57</v>
      </c>
      <c r="C24" s="25"/>
      <c r="D24">
        <f t="shared" ref="D24:D25" si="27">(B24-C$23)</f>
        <v>6.3333333333332575E-2</v>
      </c>
      <c r="E24">
        <f t="shared" si="0"/>
        <v>4.0111111111110148E-3</v>
      </c>
      <c r="F24" s="25"/>
      <c r="G24" s="28"/>
    </row>
    <row r="25" spans="1:7" x14ac:dyDescent="0.2">
      <c r="A25" s="7"/>
      <c r="B25" s="8">
        <v>8.39</v>
      </c>
      <c r="C25" s="26"/>
      <c r="D25" s="9">
        <f t="shared" si="27"/>
        <v>-0.11666666666666714</v>
      </c>
      <c r="E25" s="9">
        <f t="shared" si="0"/>
        <v>1.3611111111111221E-2</v>
      </c>
      <c r="F25" s="26"/>
      <c r="G25" s="29"/>
    </row>
    <row r="26" spans="1:7" x14ac:dyDescent="0.2">
      <c r="A26" s="2">
        <v>9</v>
      </c>
      <c r="B26" s="11">
        <v>8.0399999999999991</v>
      </c>
      <c r="C26" s="24">
        <f t="shared" ref="C26" si="28">(SUM(B26:B28)/3)</f>
        <v>8.0299999999999994</v>
      </c>
      <c r="D26" s="4">
        <f>(B26-C$26)</f>
        <v>9.9999999999997868E-3</v>
      </c>
      <c r="E26" s="4">
        <f t="shared" si="0"/>
        <v>9.9999999999995736E-5</v>
      </c>
      <c r="F26" s="24">
        <f t="shared" ref="F26" si="29">(SQRT(SUM(E26:E28)/2))</f>
        <v>2.6457513110646012E-2</v>
      </c>
      <c r="G26" s="27">
        <f t="shared" ref="G26" si="30">((F26/C26)*100)</f>
        <v>0.32948335131564149</v>
      </c>
    </row>
    <row r="27" spans="1:7" x14ac:dyDescent="0.2">
      <c r="A27" s="5"/>
      <c r="B27" s="19">
        <v>8</v>
      </c>
      <c r="C27" s="25"/>
      <c r="D27">
        <f t="shared" ref="D27:D28" si="31">(B27-C$26)</f>
        <v>-2.9999999999999361E-2</v>
      </c>
      <c r="E27">
        <f t="shared" si="0"/>
        <v>8.9999999999996159E-4</v>
      </c>
      <c r="F27" s="25"/>
      <c r="G27" s="28"/>
    </row>
    <row r="28" spans="1:7" x14ac:dyDescent="0.2">
      <c r="A28" s="7"/>
      <c r="B28" s="6">
        <v>8.0500000000000007</v>
      </c>
      <c r="C28" s="26"/>
      <c r="D28" s="9">
        <f t="shared" si="31"/>
        <v>2.000000000000135E-2</v>
      </c>
      <c r="E28" s="9">
        <f t="shared" si="0"/>
        <v>4.0000000000005401E-4</v>
      </c>
      <c r="F28" s="26"/>
      <c r="G28" s="29"/>
    </row>
    <row r="29" spans="1:7" x14ac:dyDescent="0.2">
      <c r="A29">
        <v>0</v>
      </c>
      <c r="B29">
        <v>12.05</v>
      </c>
    </row>
    <row r="30" spans="1:7" x14ac:dyDescent="0.2">
      <c r="A30">
        <v>0</v>
      </c>
      <c r="B30">
        <v>11.93</v>
      </c>
    </row>
    <row r="31" spans="1:7" x14ac:dyDescent="0.2">
      <c r="A31">
        <v>0</v>
      </c>
      <c r="B31">
        <v>11.88</v>
      </c>
    </row>
  </sheetData>
  <mergeCells count="27">
    <mergeCell ref="G20:G22"/>
    <mergeCell ref="G14:G16"/>
    <mergeCell ref="G11:G13"/>
    <mergeCell ref="G8:G10"/>
    <mergeCell ref="F11:F13"/>
    <mergeCell ref="G17:G19"/>
    <mergeCell ref="G5:G7"/>
    <mergeCell ref="F2:F4"/>
    <mergeCell ref="G23:G25"/>
    <mergeCell ref="C26:C28"/>
    <mergeCell ref="C5:C7"/>
    <mergeCell ref="C20:C22"/>
    <mergeCell ref="C14:C16"/>
    <mergeCell ref="C8:C10"/>
    <mergeCell ref="F26:F28"/>
    <mergeCell ref="F5:F7"/>
    <mergeCell ref="F20:F22"/>
    <mergeCell ref="F14:F16"/>
    <mergeCell ref="F8:F10"/>
    <mergeCell ref="G26:G28"/>
    <mergeCell ref="G2:G4"/>
    <mergeCell ref="F17:F19"/>
    <mergeCell ref="C2:C4"/>
    <mergeCell ref="C23:C25"/>
    <mergeCell ref="C17:C19"/>
    <mergeCell ref="C11:C13"/>
    <mergeCell ref="F23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zoomScale="130" zoomScaleNormal="130" workbookViewId="0">
      <selection activeCell="C26" sqref="C26:C28"/>
    </sheetView>
  </sheetViews>
  <sheetFormatPr baseColWidth="10" defaultColWidth="9" defaultRowHeight="15" x14ac:dyDescent="0.2"/>
  <cols>
    <col min="2" max="2" width="18" customWidth="1"/>
    <col min="4" max="4" width="11.5" customWidth="1"/>
    <col min="5" max="5" width="13.1640625" customWidth="1"/>
  </cols>
  <sheetData>
    <row r="1" spans="1:7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v>1</v>
      </c>
      <c r="B2" s="3">
        <v>15.8409</v>
      </c>
      <c r="C2" s="24">
        <f>(SUM(B2:B4)/3)</f>
        <v>17.874333333333333</v>
      </c>
      <c r="D2" s="4">
        <f>(B2-C2)</f>
        <v>-2.033433333333333</v>
      </c>
      <c r="E2" s="4">
        <f>(D2*D2)</f>
        <v>4.1348511211111099</v>
      </c>
      <c r="F2" s="24">
        <f>(SQRT(SUM(E2:E4)/2))</f>
        <v>1.7928947440754388</v>
      </c>
      <c r="G2" s="27">
        <f>((F2/C2)*100)</f>
        <v>10.030554486370246</v>
      </c>
    </row>
    <row r="3" spans="1:7" x14ac:dyDescent="0.2">
      <c r="A3" s="5"/>
      <c r="B3" s="6">
        <v>19.227699999999999</v>
      </c>
      <c r="C3" s="25"/>
      <c r="D3">
        <f>(B3-C2)</f>
        <v>1.3533666666666662</v>
      </c>
      <c r="E3">
        <f t="shared" ref="E3:E28" si="0">(D3*D3)</f>
        <v>1.8316013344444431</v>
      </c>
      <c r="F3" s="25"/>
      <c r="G3" s="28"/>
    </row>
    <row r="4" spans="1:7" x14ac:dyDescent="0.2">
      <c r="A4" s="7"/>
      <c r="B4" s="8">
        <v>18.554400000000001</v>
      </c>
      <c r="C4" s="26"/>
      <c r="D4" s="9">
        <f>(B4-C2)</f>
        <v>0.6800666666666686</v>
      </c>
      <c r="E4" s="9">
        <f t="shared" si="0"/>
        <v>0.46249067111111375</v>
      </c>
      <c r="F4" s="26"/>
      <c r="G4" s="29"/>
    </row>
    <row r="5" spans="1:7" x14ac:dyDescent="0.2">
      <c r="A5" s="2">
        <v>2</v>
      </c>
      <c r="B5" s="3">
        <v>11.4008</v>
      </c>
      <c r="C5" s="24">
        <f>(SUM(B5:B7)/3)</f>
        <v>10.5237</v>
      </c>
      <c r="D5" s="4">
        <f>(B5-C$5)</f>
        <v>0.87710000000000043</v>
      </c>
      <c r="E5" s="4">
        <f t="shared" si="0"/>
        <v>0.76930441000000072</v>
      </c>
      <c r="F5" s="24">
        <f t="shared" ref="F5" si="1">(SQRT(SUM(E5:E7)/2))</f>
        <v>0.76572767352368809</v>
      </c>
      <c r="G5" s="27">
        <f t="shared" ref="G5" si="2">((F5/C5)*100)</f>
        <v>7.2762210394033282</v>
      </c>
    </row>
    <row r="6" spans="1:7" x14ac:dyDescent="0.2">
      <c r="A6" s="5"/>
      <c r="B6" s="6">
        <v>10.181900000000001</v>
      </c>
      <c r="C6" s="25"/>
      <c r="D6">
        <f t="shared" ref="D6:D7" si="3">(B6-C$5)</f>
        <v>-0.34179999999999922</v>
      </c>
      <c r="E6">
        <f t="shared" si="0"/>
        <v>0.11682723999999946</v>
      </c>
      <c r="F6" s="25"/>
      <c r="G6" s="28"/>
    </row>
    <row r="7" spans="1:7" x14ac:dyDescent="0.2">
      <c r="A7" s="7"/>
      <c r="B7" s="8">
        <v>9.9884000000000004</v>
      </c>
      <c r="C7" s="26"/>
      <c r="D7" s="9">
        <f t="shared" si="3"/>
        <v>-0.53529999999999944</v>
      </c>
      <c r="E7" s="9">
        <f t="shared" si="0"/>
        <v>0.28654608999999942</v>
      </c>
      <c r="F7" s="26"/>
      <c r="G7" s="29"/>
    </row>
    <row r="8" spans="1:7" x14ac:dyDescent="0.2">
      <c r="A8" s="2">
        <v>3</v>
      </c>
      <c r="B8" s="3">
        <v>10.7592</v>
      </c>
      <c r="C8" s="24">
        <f t="shared" ref="C8" si="4">(SUM(B8:B10)/3)</f>
        <v>10.633033333333332</v>
      </c>
      <c r="D8" s="4">
        <f>(B8-C$8)</f>
        <v>0.12616666666666809</v>
      </c>
      <c r="E8" s="4">
        <f t="shared" si="0"/>
        <v>1.5918027777778138E-2</v>
      </c>
      <c r="F8" s="24">
        <f t="shared" ref="F8" si="5">(SQRT(SUM(E8:E10)/2))</f>
        <v>0.21078088939306946</v>
      </c>
      <c r="G8" s="27">
        <f t="shared" ref="G8" si="6">((F8/C8)*100)</f>
        <v>1.9823213450511408</v>
      </c>
    </row>
    <row r="9" spans="1:7" x14ac:dyDescent="0.2">
      <c r="A9" s="5"/>
      <c r="B9" s="6">
        <v>10.7502</v>
      </c>
      <c r="C9" s="25"/>
      <c r="D9">
        <f t="shared" ref="D9:D10" si="7">(B9-C$8)</f>
        <v>0.11716666666666775</v>
      </c>
      <c r="E9">
        <f t="shared" si="0"/>
        <v>1.3728027777778032E-2</v>
      </c>
      <c r="F9" s="25"/>
      <c r="G9" s="28"/>
    </row>
    <row r="10" spans="1:7" x14ac:dyDescent="0.2">
      <c r="A10" s="7"/>
      <c r="B10" s="8">
        <v>10.389699999999999</v>
      </c>
      <c r="C10" s="26"/>
      <c r="D10" s="9">
        <f t="shared" si="7"/>
        <v>-0.24333333333333229</v>
      </c>
      <c r="E10" s="9">
        <f t="shared" si="0"/>
        <v>5.9211111111110604E-2</v>
      </c>
      <c r="F10" s="26"/>
      <c r="G10" s="29"/>
    </row>
    <row r="11" spans="1:7" x14ac:dyDescent="0.2">
      <c r="A11" s="2">
        <v>4</v>
      </c>
      <c r="B11" s="3">
        <v>9.5855999999999995</v>
      </c>
      <c r="C11" s="24">
        <f t="shared" ref="C11" si="8">(SUM(B11:B13)/3)</f>
        <v>9.5154333333333341</v>
      </c>
      <c r="D11" s="4">
        <f>(B11-C$11)</f>
        <v>7.0166666666665378E-2</v>
      </c>
      <c r="E11" s="4">
        <f t="shared" si="0"/>
        <v>4.9233611111109306E-3</v>
      </c>
      <c r="F11" s="24">
        <f t="shared" ref="F11" si="9">(SQRT(SUM(E11:E13)/2))</f>
        <v>8.9163239809538303E-2</v>
      </c>
      <c r="G11" s="27">
        <f t="shared" ref="G11" si="10">((F11/C11)*100)</f>
        <v>0.93703814304696187</v>
      </c>
    </row>
    <row r="12" spans="1:7" x14ac:dyDescent="0.2">
      <c r="A12" s="5"/>
      <c r="B12" s="6">
        <v>9.4151000000000007</v>
      </c>
      <c r="C12" s="25"/>
      <c r="D12">
        <f t="shared" ref="D12:D13" si="11">(B12-C$11)</f>
        <v>-0.10033333333333339</v>
      </c>
      <c r="E12">
        <f t="shared" si="0"/>
        <v>1.0066777777777789E-2</v>
      </c>
      <c r="F12" s="25"/>
      <c r="G12" s="28"/>
    </row>
    <row r="13" spans="1:7" x14ac:dyDescent="0.2">
      <c r="A13" s="7"/>
      <c r="B13" s="8">
        <v>9.5456000000000003</v>
      </c>
      <c r="C13" s="26"/>
      <c r="D13" s="9">
        <f t="shared" si="11"/>
        <v>3.0166666666666231E-2</v>
      </c>
      <c r="E13" s="9">
        <f t="shared" si="0"/>
        <v>9.1002777777775149E-4</v>
      </c>
      <c r="F13" s="26"/>
      <c r="G13" s="29"/>
    </row>
    <row r="14" spans="1:7" x14ac:dyDescent="0.2">
      <c r="A14" s="2">
        <v>5</v>
      </c>
      <c r="B14" s="3">
        <v>9.1845999999999997</v>
      </c>
      <c r="C14" s="24">
        <f t="shared" ref="C14" si="12">(SUM(B14:B16)/3)</f>
        <v>9.2498666666666676</v>
      </c>
      <c r="D14" s="4">
        <f>(B14-C$14)</f>
        <v>-6.5266666666667916E-2</v>
      </c>
      <c r="E14" s="4">
        <f t="shared" si="0"/>
        <v>4.2597377777779406E-3</v>
      </c>
      <c r="F14" s="24">
        <f t="shared" ref="F14" si="13">(SQRT(SUM(E14:E16)/2))</f>
        <v>8.6062845254694084E-2</v>
      </c>
      <c r="G14" s="27">
        <f t="shared" ref="G14" si="14">((F14/C14)*100)</f>
        <v>0.93042254938479196</v>
      </c>
    </row>
    <row r="15" spans="1:7" x14ac:dyDescent="0.2">
      <c r="A15" s="5"/>
      <c r="B15" s="6">
        <v>9.3474000000000004</v>
      </c>
      <c r="C15" s="25"/>
      <c r="D15">
        <f t="shared" ref="D15:D16" si="15">(B15-C$14)</f>
        <v>9.7533333333332806E-2</v>
      </c>
      <c r="E15">
        <f t="shared" si="0"/>
        <v>9.5127511111110074E-3</v>
      </c>
      <c r="F15" s="25"/>
      <c r="G15" s="28"/>
    </row>
    <row r="16" spans="1:7" x14ac:dyDescent="0.2">
      <c r="A16" s="7"/>
      <c r="B16" s="8">
        <v>9.2175999999999991</v>
      </c>
      <c r="C16" s="26"/>
      <c r="D16" s="9">
        <f t="shared" si="15"/>
        <v>-3.2266666666668442E-2</v>
      </c>
      <c r="E16" s="9">
        <f t="shared" si="0"/>
        <v>1.0411377777778924E-3</v>
      </c>
      <c r="F16" s="26"/>
      <c r="G16" s="29"/>
    </row>
    <row r="17" spans="1:7" x14ac:dyDescent="0.2">
      <c r="A17" s="2">
        <v>6</v>
      </c>
      <c r="B17" s="3">
        <v>8.3782999999999994</v>
      </c>
      <c r="C17" s="24">
        <f t="shared" ref="C17" si="16">(SUM(B17:B19)/3)</f>
        <v>8.5520666666666667</v>
      </c>
      <c r="D17" s="4">
        <f>(B17-C$17)</f>
        <v>-0.17376666666666729</v>
      </c>
      <c r="E17" s="4">
        <f t="shared" si="0"/>
        <v>3.0194854444444662E-2</v>
      </c>
      <c r="F17" s="24">
        <f t="shared" ref="F17" si="17">(SQRT(SUM(E17:E19)/2))</f>
        <v>0.22394723336833935</v>
      </c>
      <c r="G17" s="27">
        <f t="shared" ref="G17" si="18">((F17/C17)*100)</f>
        <v>2.6186329234454755</v>
      </c>
    </row>
    <row r="18" spans="1:7" x14ac:dyDescent="0.2">
      <c r="A18" s="5"/>
      <c r="B18" s="6">
        <v>8.4731000000000005</v>
      </c>
      <c r="C18" s="25"/>
      <c r="D18">
        <f t="shared" ref="D18:D19" si="19">(B18-C$17)</f>
        <v>-7.8966666666666185E-2</v>
      </c>
      <c r="E18">
        <f t="shared" si="0"/>
        <v>6.2357344444443682E-3</v>
      </c>
      <c r="F18" s="25"/>
      <c r="G18" s="28"/>
    </row>
    <row r="19" spans="1:7" x14ac:dyDescent="0.2">
      <c r="A19" s="7"/>
      <c r="B19" s="8">
        <v>8.8048000000000002</v>
      </c>
      <c r="C19" s="26"/>
      <c r="D19" s="9">
        <f t="shared" si="19"/>
        <v>0.25273333333333348</v>
      </c>
      <c r="E19" s="9">
        <f t="shared" si="0"/>
        <v>6.3874137777777854E-2</v>
      </c>
      <c r="F19" s="26"/>
      <c r="G19" s="29"/>
    </row>
    <row r="20" spans="1:7" x14ac:dyDescent="0.2">
      <c r="A20" s="2">
        <v>7</v>
      </c>
      <c r="B20" s="3">
        <v>9.5637000000000008</v>
      </c>
      <c r="C20" s="24">
        <f t="shared" ref="C20" si="20">(SUM(B20:B22)/3)</f>
        <v>9.885133333333334</v>
      </c>
      <c r="D20" s="4">
        <f>(B20-C$20)</f>
        <v>-0.32143333333333324</v>
      </c>
      <c r="E20" s="4">
        <f t="shared" si="0"/>
        <v>0.10331938777777772</v>
      </c>
      <c r="F20" s="24">
        <f t="shared" ref="F20" si="21">(SQRT(SUM(E20:E22)/2))</f>
        <v>0.28789658444193689</v>
      </c>
      <c r="G20" s="27">
        <f t="shared" ref="G20" si="22">((F20/C20)*100)</f>
        <v>2.9124198403184938</v>
      </c>
    </row>
    <row r="21" spans="1:7" x14ac:dyDescent="0.2">
      <c r="A21" s="5"/>
      <c r="B21" s="6">
        <v>10.119300000000001</v>
      </c>
      <c r="C21" s="25"/>
      <c r="D21">
        <f t="shared" ref="D21:D22" si="23">(B21-C$20)</f>
        <v>0.23416666666666686</v>
      </c>
      <c r="E21">
        <f t="shared" si="0"/>
        <v>5.4834027777777863E-2</v>
      </c>
      <c r="F21" s="25"/>
      <c r="G21" s="28"/>
    </row>
    <row r="22" spans="1:7" x14ac:dyDescent="0.2">
      <c r="A22" s="7"/>
      <c r="B22" s="8">
        <v>9.9724000000000004</v>
      </c>
      <c r="C22" s="26"/>
      <c r="D22" s="9">
        <f t="shared" si="23"/>
        <v>8.7266666666666382E-2</v>
      </c>
      <c r="E22" s="9">
        <f t="shared" si="0"/>
        <v>7.6154711111110617E-3</v>
      </c>
      <c r="F22" s="26"/>
      <c r="G22" s="29"/>
    </row>
    <row r="23" spans="1:7" x14ac:dyDescent="0.2">
      <c r="A23" s="2">
        <v>8</v>
      </c>
      <c r="B23" s="3">
        <v>11.1813</v>
      </c>
      <c r="C23" s="24">
        <f t="shared" ref="C23" si="24">(SUM(B23:B25)/3)</f>
        <v>11.568066666666667</v>
      </c>
      <c r="D23" s="4">
        <f>(B23-C$23)</f>
        <v>-0.38676666666666648</v>
      </c>
      <c r="E23" s="4">
        <f t="shared" si="0"/>
        <v>0.1495884544444443</v>
      </c>
      <c r="F23" s="24">
        <f t="shared" ref="F23" si="25">(SQRT(SUM(E23:E25)/2))</f>
        <v>0.35877073923793362</v>
      </c>
      <c r="G23" s="27">
        <f t="shared" ref="G23" si="26">((F23/C23)*100)</f>
        <v>3.1013889319269738</v>
      </c>
    </row>
    <row r="24" spans="1:7" x14ac:dyDescent="0.2">
      <c r="A24" s="5"/>
      <c r="B24" s="20">
        <v>11.89</v>
      </c>
      <c r="C24" s="25"/>
      <c r="D24">
        <f t="shared" ref="D24:D25" si="27">(B24-C$23)</f>
        <v>0.32193333333333385</v>
      </c>
      <c r="E24">
        <f t="shared" si="0"/>
        <v>0.10364107111111144</v>
      </c>
      <c r="F24" s="25"/>
      <c r="G24" s="28"/>
    </row>
    <row r="25" spans="1:7" x14ac:dyDescent="0.2">
      <c r="A25" s="7"/>
      <c r="B25" s="8">
        <v>11.632899999999999</v>
      </c>
      <c r="C25" s="26"/>
      <c r="D25" s="9">
        <f t="shared" si="27"/>
        <v>6.4833333333332632E-2</v>
      </c>
      <c r="E25" s="9">
        <f t="shared" si="0"/>
        <v>4.2033611111110206E-3</v>
      </c>
      <c r="F25" s="26"/>
      <c r="G25" s="29"/>
    </row>
    <row r="26" spans="1:7" x14ac:dyDescent="0.2">
      <c r="A26" s="2">
        <v>9</v>
      </c>
      <c r="B26" s="11">
        <v>8.7348999999999997</v>
      </c>
      <c r="C26" s="24">
        <f t="shared" ref="C26" si="28">(SUM(B26:B28)/3)</f>
        <v>8.6738666666666671</v>
      </c>
      <c r="D26" s="4">
        <f>(B26-C$26)</f>
        <v>6.1033333333332607E-2</v>
      </c>
      <c r="E26" s="4">
        <f t="shared" si="0"/>
        <v>3.7250677777776889E-3</v>
      </c>
      <c r="F26" s="24">
        <f t="shared" ref="F26" si="29">(SQRT(SUM(E26:E28)/2))</f>
        <v>0.23224474877450632</v>
      </c>
      <c r="G26" s="27">
        <f t="shared" ref="G26" si="30">((F26/C26)*100)</f>
        <v>2.6775226977723081</v>
      </c>
    </row>
    <row r="27" spans="1:7" x14ac:dyDescent="0.2">
      <c r="A27" s="5"/>
      <c r="B27" s="6">
        <v>8.8695000000000004</v>
      </c>
      <c r="C27" s="25"/>
      <c r="D27">
        <f t="shared" ref="D27:D28" si="31">(B27-C$26)</f>
        <v>0.19563333333333333</v>
      </c>
      <c r="E27">
        <f t="shared" si="0"/>
        <v>3.8272401111111111E-2</v>
      </c>
      <c r="F27" s="25"/>
      <c r="G27" s="28"/>
    </row>
    <row r="28" spans="1:7" x14ac:dyDescent="0.2">
      <c r="A28" s="7"/>
      <c r="B28" s="6">
        <v>8.4171999999999993</v>
      </c>
      <c r="C28" s="26"/>
      <c r="D28" s="9">
        <f t="shared" si="31"/>
        <v>-0.25666666666666771</v>
      </c>
      <c r="E28" s="9">
        <f t="shared" si="0"/>
        <v>6.5877777777778312E-2</v>
      </c>
      <c r="F28" s="26"/>
      <c r="G28" s="29"/>
    </row>
    <row r="29" spans="1:7" x14ac:dyDescent="0.2">
      <c r="A29">
        <v>0</v>
      </c>
      <c r="B29">
        <v>10.104699999999999</v>
      </c>
    </row>
    <row r="30" spans="1:7" x14ac:dyDescent="0.2">
      <c r="A30">
        <v>0</v>
      </c>
      <c r="B30">
        <v>10.074199999999999</v>
      </c>
    </row>
    <row r="31" spans="1:7" x14ac:dyDescent="0.2">
      <c r="A31">
        <v>0</v>
      </c>
      <c r="B31">
        <v>10.554399999999999</v>
      </c>
    </row>
  </sheetData>
  <mergeCells count="27">
    <mergeCell ref="G20:G22"/>
    <mergeCell ref="G14:G16"/>
    <mergeCell ref="G11:G13"/>
    <mergeCell ref="G8:G10"/>
    <mergeCell ref="F11:F13"/>
    <mergeCell ref="G17:G19"/>
    <mergeCell ref="G5:G7"/>
    <mergeCell ref="F2:F4"/>
    <mergeCell ref="G23:G25"/>
    <mergeCell ref="C26:C28"/>
    <mergeCell ref="C5:C7"/>
    <mergeCell ref="C20:C22"/>
    <mergeCell ref="C14:C16"/>
    <mergeCell ref="C8:C10"/>
    <mergeCell ref="F26:F28"/>
    <mergeCell ref="F5:F7"/>
    <mergeCell ref="F20:F22"/>
    <mergeCell ref="F14:F16"/>
    <mergeCell ref="F8:F10"/>
    <mergeCell ref="G26:G28"/>
    <mergeCell ref="G2:G4"/>
    <mergeCell ref="F17:F19"/>
    <mergeCell ref="C2:C4"/>
    <mergeCell ref="C23:C25"/>
    <mergeCell ref="C17:C19"/>
    <mergeCell ref="C11:C13"/>
    <mergeCell ref="F23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M32"/>
  <sheetViews>
    <sheetView zoomScale="66" workbookViewId="0">
      <selection activeCell="K3" sqref="K3"/>
    </sheetView>
  </sheetViews>
  <sheetFormatPr baseColWidth="10" defaultColWidth="9" defaultRowHeight="15" x14ac:dyDescent="0.2"/>
  <cols>
    <col min="12" max="12" width="29" customWidth="1"/>
    <col min="13" max="13" width="27" customWidth="1"/>
  </cols>
  <sheetData>
    <row r="1" spans="1:13" x14ac:dyDescent="0.2">
      <c r="A1" s="38" t="s">
        <v>16</v>
      </c>
      <c r="B1" s="34" t="s">
        <v>17</v>
      </c>
      <c r="C1" s="34" t="s">
        <v>18</v>
      </c>
      <c r="D1" s="34"/>
      <c r="E1" s="34"/>
      <c r="F1" s="34"/>
      <c r="G1" s="34"/>
      <c r="H1" s="34"/>
      <c r="I1" s="34" t="s">
        <v>19</v>
      </c>
      <c r="J1" s="34" t="s">
        <v>20</v>
      </c>
      <c r="K1" s="34" t="s">
        <v>21</v>
      </c>
      <c r="L1" s="34" t="s">
        <v>22</v>
      </c>
      <c r="M1" s="36" t="s">
        <v>23</v>
      </c>
    </row>
    <row r="2" spans="1:13" x14ac:dyDescent="0.2">
      <c r="A2" s="39"/>
      <c r="B2" s="35"/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35"/>
      <c r="J2" s="35"/>
      <c r="K2" s="35"/>
      <c r="L2" s="35"/>
      <c r="M2" s="37"/>
    </row>
    <row r="3" spans="1:13" x14ac:dyDescent="0.2">
      <c r="A3" s="22">
        <v>1</v>
      </c>
      <c r="B3" s="22">
        <f>('WAC(%)'!B2)</f>
        <v>285.06</v>
      </c>
      <c r="C3" s="22">
        <f>(Color!B3)</f>
        <v>62.48</v>
      </c>
      <c r="D3" s="22">
        <f>(Color!J3)</f>
        <v>3.69</v>
      </c>
      <c r="E3" s="22">
        <f>(Color!R3)</f>
        <v>17.21</v>
      </c>
      <c r="F3" s="22">
        <f>(Color!Z3)</f>
        <v>0</v>
      </c>
      <c r="G3" s="22">
        <f>(Color!AH3)</f>
        <v>0</v>
      </c>
      <c r="H3" s="22">
        <f>(Color!AP3)</f>
        <v>0</v>
      </c>
      <c r="I3" s="22">
        <f>(Aw!B2)</f>
        <v>0.628</v>
      </c>
      <c r="J3" s="22">
        <f>('%MC'!B2)</f>
        <v>10.38</v>
      </c>
      <c r="K3" s="22">
        <f>(WSI!B2)</f>
        <v>15.8409</v>
      </c>
      <c r="L3" s="22" t="e">
        <f>(#REF!)</f>
        <v>#REF!</v>
      </c>
      <c r="M3" s="22" t="e">
        <f>(#REF!)</f>
        <v>#REF!</v>
      </c>
    </row>
    <row r="4" spans="1:13" x14ac:dyDescent="0.2">
      <c r="A4" s="23">
        <v>1</v>
      </c>
      <c r="B4" s="22">
        <f>('WAC(%)'!B3)</f>
        <v>296.55</v>
      </c>
      <c r="C4" s="22">
        <f>(Color!B4)</f>
        <v>62.11</v>
      </c>
      <c r="D4" s="22">
        <f>(Color!J4)</f>
        <v>3.8</v>
      </c>
      <c r="E4" s="22">
        <f>(Color!R4)</f>
        <v>17.489999999999998</v>
      </c>
      <c r="F4" s="22">
        <f>(Color!Z4)</f>
        <v>0</v>
      </c>
      <c r="G4" s="22">
        <f>(Color!AH4)</f>
        <v>0</v>
      </c>
      <c r="H4" s="22">
        <f>(Color!AP4)</f>
        <v>0</v>
      </c>
      <c r="I4" s="22">
        <f>(Aw!B3)</f>
        <v>0.63500000000000001</v>
      </c>
      <c r="J4" s="22">
        <f>('%MC'!B3)</f>
        <v>10.47</v>
      </c>
      <c r="K4" s="22">
        <f>(WSI!B3)</f>
        <v>19.227699999999999</v>
      </c>
      <c r="L4" s="22" t="e">
        <f>(#REF!)</f>
        <v>#REF!</v>
      </c>
      <c r="M4" s="22" t="e">
        <f>(#REF!)</f>
        <v>#REF!</v>
      </c>
    </row>
    <row r="5" spans="1:13" x14ac:dyDescent="0.2">
      <c r="A5" s="23">
        <v>1</v>
      </c>
      <c r="B5" s="22">
        <f>('WAC(%)'!B4)</f>
        <v>307.57</v>
      </c>
      <c r="C5" s="22">
        <f>(Color!B5)</f>
        <v>61.66</v>
      </c>
      <c r="D5" s="22">
        <f>(Color!J5)</f>
        <v>3.86</v>
      </c>
      <c r="E5" s="22">
        <f>(Color!R5)</f>
        <v>17.28</v>
      </c>
      <c r="F5" s="22">
        <f>(Color!Z5)</f>
        <v>0</v>
      </c>
      <c r="G5" s="22">
        <f>(Color!AH5)</f>
        <v>0</v>
      </c>
      <c r="H5" s="22">
        <f>(Color!AP5)</f>
        <v>0</v>
      </c>
      <c r="I5" s="22">
        <f>(Aw!B4)</f>
        <v>0.63400000000000001</v>
      </c>
      <c r="J5" s="22">
        <f>('%MC'!B4)</f>
        <v>10.36</v>
      </c>
      <c r="K5" s="22">
        <f>(WSI!B4)</f>
        <v>18.554400000000001</v>
      </c>
      <c r="L5" s="22" t="e">
        <f>(#REF!)</f>
        <v>#REF!</v>
      </c>
      <c r="M5" s="22" t="e">
        <f>(#REF!)</f>
        <v>#REF!</v>
      </c>
    </row>
    <row r="6" spans="1:13" x14ac:dyDescent="0.2">
      <c r="A6" s="23">
        <v>2</v>
      </c>
      <c r="B6" s="22">
        <f>('WAC(%)'!B5)</f>
        <v>330.67</v>
      </c>
      <c r="C6" s="22">
        <f>(Color!B6)</f>
        <v>62.04</v>
      </c>
      <c r="D6" s="22">
        <f>(Color!J6)</f>
        <v>4</v>
      </c>
      <c r="E6" s="22">
        <f>(Color!R6)</f>
        <v>17.600000000000001</v>
      </c>
      <c r="F6" s="22">
        <f>(Color!Z6)</f>
        <v>0</v>
      </c>
      <c r="G6" s="22">
        <f>(Color!AH6)</f>
        <v>0</v>
      </c>
      <c r="H6" s="22">
        <f>(Color!AP6)</f>
        <v>0</v>
      </c>
      <c r="I6" s="22">
        <f>(Aw!B5)</f>
        <v>0.63100000000000001</v>
      </c>
      <c r="J6" s="22">
        <f>('%MC'!B5)</f>
        <v>9.91</v>
      </c>
      <c r="K6" s="22">
        <f>(WSI!B5)</f>
        <v>11.4008</v>
      </c>
      <c r="L6" s="22" t="e">
        <f>(#REF!)</f>
        <v>#REF!</v>
      </c>
      <c r="M6" s="22" t="e">
        <f>(#REF!)</f>
        <v>#REF!</v>
      </c>
    </row>
    <row r="7" spans="1:13" x14ac:dyDescent="0.2">
      <c r="A7" s="23">
        <v>2</v>
      </c>
      <c r="B7" s="22">
        <f>('WAC(%)'!B6)</f>
        <v>273.83999999999997</v>
      </c>
      <c r="C7" s="22">
        <f>(Color!B7)</f>
        <v>61.93</v>
      </c>
      <c r="D7" s="22">
        <f>(Color!J7)</f>
        <v>3.95</v>
      </c>
      <c r="E7" s="22">
        <f>(Color!R7)</f>
        <v>17.61</v>
      </c>
      <c r="F7" s="22">
        <f>(Color!Z7)</f>
        <v>0</v>
      </c>
      <c r="G7" s="22">
        <f>(Color!AH7)</f>
        <v>0</v>
      </c>
      <c r="H7" s="22">
        <f>(Color!AP7)</f>
        <v>0</v>
      </c>
      <c r="I7" s="22">
        <f>(Aw!B6)</f>
        <v>0.628</v>
      </c>
      <c r="J7" s="22">
        <f>('%MC'!B6)</f>
        <v>9.69</v>
      </c>
      <c r="K7" s="22">
        <f>(WSI!B6)</f>
        <v>10.181900000000001</v>
      </c>
      <c r="L7" s="22" t="e">
        <f>(#REF!)</f>
        <v>#REF!</v>
      </c>
      <c r="M7" s="22" t="e">
        <f>(#REF!)</f>
        <v>#REF!</v>
      </c>
    </row>
    <row r="8" spans="1:13" x14ac:dyDescent="0.2">
      <c r="A8" s="23">
        <v>2</v>
      </c>
      <c r="B8" s="22">
        <f>('WAC(%)'!B7)</f>
        <v>301.2</v>
      </c>
      <c r="C8" s="22">
        <f>(Color!B8)</f>
        <v>61.65</v>
      </c>
      <c r="D8" s="22">
        <f>(Color!J8)</f>
        <v>4.2300000000000004</v>
      </c>
      <c r="E8" s="22">
        <f>(Color!R8)</f>
        <v>17.7</v>
      </c>
      <c r="F8" s="22">
        <f>(Color!Z8)</f>
        <v>0</v>
      </c>
      <c r="G8" s="22">
        <f>(Color!AH8)</f>
        <v>0</v>
      </c>
      <c r="H8" s="22">
        <f>(Color!AP8)</f>
        <v>0</v>
      </c>
      <c r="I8" s="22">
        <f>(Aw!B7)</f>
        <v>0.628</v>
      </c>
      <c r="J8" s="22">
        <f>('%MC'!B7)</f>
        <v>10.1</v>
      </c>
      <c r="K8" s="22">
        <f>(WSI!B7)</f>
        <v>9.9884000000000004</v>
      </c>
      <c r="L8" s="22" t="e">
        <f>(#REF!)</f>
        <v>#REF!</v>
      </c>
      <c r="M8" s="22" t="e">
        <f>(#REF!)</f>
        <v>#REF!</v>
      </c>
    </row>
    <row r="9" spans="1:13" x14ac:dyDescent="0.2">
      <c r="A9" s="23">
        <v>3</v>
      </c>
      <c r="B9" s="22">
        <f>('WAC(%)'!B8)</f>
        <v>328.73</v>
      </c>
      <c r="C9" s="22">
        <f>(Color!B9)</f>
        <v>61.66</v>
      </c>
      <c r="D9" s="22">
        <f>(Color!J9)</f>
        <v>3.86</v>
      </c>
      <c r="E9" s="22">
        <f>(Color!R9)</f>
        <v>17.22</v>
      </c>
      <c r="F9" s="22">
        <f>(Color!Z9)</f>
        <v>0</v>
      </c>
      <c r="G9" s="22">
        <f>(Color!AH9)</f>
        <v>0</v>
      </c>
      <c r="H9" s="22">
        <f>(Color!AP9)</f>
        <v>0</v>
      </c>
      <c r="I9" s="22">
        <f>(Aw!B8)</f>
        <v>0.59899999999999998</v>
      </c>
      <c r="J9" s="22">
        <f>('%MC'!B8)</f>
        <v>9.83</v>
      </c>
      <c r="K9" s="22">
        <f>(WSI!B8)</f>
        <v>10.7592</v>
      </c>
      <c r="L9" s="22" t="e">
        <f>(#REF!)</f>
        <v>#REF!</v>
      </c>
      <c r="M9" s="22" t="e">
        <f>(#REF!)</f>
        <v>#REF!</v>
      </c>
    </row>
    <row r="10" spans="1:13" x14ac:dyDescent="0.2">
      <c r="A10" s="23">
        <v>3</v>
      </c>
      <c r="B10" s="22">
        <f>('WAC(%)'!B9)</f>
        <v>344.69</v>
      </c>
      <c r="C10" s="22">
        <f>(Color!B10)</f>
        <v>61.63</v>
      </c>
      <c r="D10" s="22">
        <f>(Color!J10)</f>
        <v>3.87</v>
      </c>
      <c r="E10" s="22">
        <f>(Color!R10)</f>
        <v>17.25</v>
      </c>
      <c r="F10" s="22">
        <f>(Color!Z10)</f>
        <v>0</v>
      </c>
      <c r="G10" s="22">
        <f>(Color!AH10)</f>
        <v>0</v>
      </c>
      <c r="H10" s="22">
        <f>(Color!AP10)</f>
        <v>0</v>
      </c>
      <c r="I10" s="22">
        <f>(Aw!B9)</f>
        <v>0.60899999999999999</v>
      </c>
      <c r="J10" s="22">
        <f>('%MC'!B9)</f>
        <v>9.74</v>
      </c>
      <c r="K10" s="22">
        <f>(WSI!B9)</f>
        <v>10.7502</v>
      </c>
      <c r="L10" s="22" t="e">
        <f>(#REF!)</f>
        <v>#REF!</v>
      </c>
      <c r="M10" s="22" t="e">
        <f>(#REF!)</f>
        <v>#REF!</v>
      </c>
    </row>
    <row r="11" spans="1:13" x14ac:dyDescent="0.2">
      <c r="A11" s="23">
        <v>3</v>
      </c>
      <c r="B11" s="22">
        <f>('WAC(%)'!B10)</f>
        <v>326.25</v>
      </c>
      <c r="C11" s="22">
        <f>(Color!B11)</f>
        <v>61.57</v>
      </c>
      <c r="D11" s="22">
        <f>(Color!J11)</f>
        <v>3.86</v>
      </c>
      <c r="E11" s="22">
        <f>(Color!R11)</f>
        <v>17.22</v>
      </c>
      <c r="F11" s="22">
        <f>(Color!Z11)</f>
        <v>0</v>
      </c>
      <c r="G11" s="22">
        <f>(Color!AH11)</f>
        <v>0</v>
      </c>
      <c r="H11" s="22">
        <f>(Color!AP11)</f>
        <v>0</v>
      </c>
      <c r="I11" s="22">
        <f>(Aw!B10)</f>
        <v>0.61299999999999999</v>
      </c>
      <c r="J11" s="22">
        <f>('%MC'!B10)</f>
        <v>9.6999999999999993</v>
      </c>
      <c r="K11" s="22">
        <f>(WSI!B10)</f>
        <v>10.389699999999999</v>
      </c>
      <c r="L11" s="22" t="e">
        <f>(#REF!)</f>
        <v>#REF!</v>
      </c>
      <c r="M11" s="22" t="e">
        <f>(#REF!)</f>
        <v>#REF!</v>
      </c>
    </row>
    <row r="12" spans="1:13" x14ac:dyDescent="0.2">
      <c r="A12" s="23">
        <v>4</v>
      </c>
      <c r="B12" s="22">
        <f>('WAC(%)'!B11)</f>
        <v>347.16</v>
      </c>
      <c r="C12" s="22">
        <f>(Color!B12)</f>
        <v>61.63</v>
      </c>
      <c r="D12" s="22">
        <f>(Color!J12)</f>
        <v>3.76</v>
      </c>
      <c r="E12" s="22">
        <f>(Color!R12)</f>
        <v>18.760000000000002</v>
      </c>
      <c r="F12" s="22">
        <f>(Color!Z12)</f>
        <v>0</v>
      </c>
      <c r="G12" s="22">
        <f>(Color!AH12)</f>
        <v>0</v>
      </c>
      <c r="H12" s="22">
        <f>(Color!AP12)</f>
        <v>0</v>
      </c>
      <c r="I12" s="22">
        <f>(Aw!B11)</f>
        <v>0.625</v>
      </c>
      <c r="J12" s="22">
        <f>('%MC'!B11)</f>
        <v>10.29</v>
      </c>
      <c r="K12" s="22">
        <f>(WSI!B11)</f>
        <v>9.5855999999999995</v>
      </c>
      <c r="L12" s="22" t="e">
        <f>(#REF!)</f>
        <v>#REF!</v>
      </c>
      <c r="M12" s="22" t="e">
        <f>(#REF!)</f>
        <v>#REF!</v>
      </c>
    </row>
    <row r="13" spans="1:13" x14ac:dyDescent="0.2">
      <c r="A13" s="23">
        <v>4</v>
      </c>
      <c r="B13" s="22">
        <f>('WAC(%)'!B12)</f>
        <v>339.73</v>
      </c>
      <c r="C13" s="22">
        <f>(Color!B13)</f>
        <v>61.09</v>
      </c>
      <c r="D13" s="22">
        <f>(Color!J13)</f>
        <v>3.77</v>
      </c>
      <c r="E13" s="22">
        <f>(Color!R13)</f>
        <v>18.66</v>
      </c>
      <c r="F13" s="22">
        <f>(Color!Z13)</f>
        <v>0</v>
      </c>
      <c r="G13" s="22">
        <f>(Color!AH13)</f>
        <v>0</v>
      </c>
      <c r="H13" s="22">
        <f>(Color!AP13)</f>
        <v>0</v>
      </c>
      <c r="I13" s="22">
        <f>(Aw!B12)</f>
        <v>0.60899999999999999</v>
      </c>
      <c r="J13" s="22">
        <f>('%MC'!B12)</f>
        <v>9.86</v>
      </c>
      <c r="K13" s="22">
        <f>(WSI!B12)</f>
        <v>9.4151000000000007</v>
      </c>
      <c r="L13" s="22" t="e">
        <f>(#REF!)</f>
        <v>#REF!</v>
      </c>
      <c r="M13" s="22" t="e">
        <f>(#REF!)</f>
        <v>#REF!</v>
      </c>
    </row>
    <row r="14" spans="1:13" x14ac:dyDescent="0.2">
      <c r="A14" s="23">
        <v>4</v>
      </c>
      <c r="B14" s="22">
        <f>('WAC(%)'!B13)</f>
        <v>336.73</v>
      </c>
      <c r="C14" s="22">
        <f>(Color!B14)</f>
        <v>61.15</v>
      </c>
      <c r="D14" s="22">
        <f>(Color!J14)</f>
        <v>3.52</v>
      </c>
      <c r="E14" s="22">
        <f>(Color!R14)</f>
        <v>18.28</v>
      </c>
      <c r="F14" s="22">
        <f>(Color!Z14)</f>
        <v>0</v>
      </c>
      <c r="G14" s="22">
        <f>(Color!AH14)</f>
        <v>0</v>
      </c>
      <c r="H14" s="22">
        <f>(Color!AP14)</f>
        <v>0</v>
      </c>
      <c r="I14" s="22">
        <f>(Aw!B13)</f>
        <v>0.626</v>
      </c>
      <c r="J14" s="22">
        <f>('%MC'!B13)</f>
        <v>10.25</v>
      </c>
      <c r="K14" s="22">
        <f>(WSI!B13)</f>
        <v>9.5456000000000003</v>
      </c>
      <c r="L14" s="22" t="e">
        <f>(#REF!)</f>
        <v>#REF!</v>
      </c>
      <c r="M14" s="22" t="e">
        <f>(#REF!)</f>
        <v>#REF!</v>
      </c>
    </row>
    <row r="15" spans="1:13" x14ac:dyDescent="0.2">
      <c r="A15" s="23">
        <v>5</v>
      </c>
      <c r="B15" s="22">
        <f>('WAC(%)'!B14)</f>
        <v>360.62</v>
      </c>
      <c r="C15" s="22">
        <f>(Color!B15)</f>
        <v>60.63</v>
      </c>
      <c r="D15" s="22">
        <f>(Color!J15)</f>
        <v>3.71</v>
      </c>
      <c r="E15" s="22">
        <f>(Color!R15)</f>
        <v>18.2</v>
      </c>
      <c r="F15" s="22">
        <f>(Color!Z15)</f>
        <v>0</v>
      </c>
      <c r="G15" s="22">
        <f>(Color!AH15)</f>
        <v>0</v>
      </c>
      <c r="H15" s="22">
        <f>(Color!AP15)</f>
        <v>0</v>
      </c>
      <c r="I15" s="22">
        <f>(Aw!B14)</f>
        <v>0.59599999999999997</v>
      </c>
      <c r="J15" s="22">
        <f>('%MC'!B14)</f>
        <v>8.83</v>
      </c>
      <c r="K15" s="22">
        <f>(WSI!B14)</f>
        <v>9.1845999999999997</v>
      </c>
      <c r="L15" s="22" t="e">
        <f>(#REF!)</f>
        <v>#REF!</v>
      </c>
      <c r="M15" s="22" t="e">
        <f>(#REF!)</f>
        <v>#REF!</v>
      </c>
    </row>
    <row r="16" spans="1:13" x14ac:dyDescent="0.2">
      <c r="A16" s="23">
        <v>5</v>
      </c>
      <c r="B16" s="22">
        <f>('WAC(%)'!B15)</f>
        <v>362.04</v>
      </c>
      <c r="C16" s="22">
        <f>(Color!B16)</f>
        <v>60.28</v>
      </c>
      <c r="D16" s="22">
        <f>(Color!J16)</f>
        <v>3.75</v>
      </c>
      <c r="E16" s="22">
        <f>(Color!R16)</f>
        <v>18.14</v>
      </c>
      <c r="F16" s="22">
        <f>(Color!Z16)</f>
        <v>0</v>
      </c>
      <c r="G16" s="22">
        <f>(Color!AH16)</f>
        <v>0</v>
      </c>
      <c r="H16" s="22">
        <f>(Color!AP16)</f>
        <v>0</v>
      </c>
      <c r="I16" s="22">
        <f>(Aw!B15)</f>
        <v>0.57899999999999996</v>
      </c>
      <c r="J16" s="22">
        <f>('%MC'!B15)</f>
        <v>8.98</v>
      </c>
      <c r="K16" s="22">
        <f>(WSI!B15)</f>
        <v>9.3474000000000004</v>
      </c>
      <c r="L16" s="22" t="e">
        <f>(#REF!)</f>
        <v>#REF!</v>
      </c>
      <c r="M16" s="22" t="e">
        <f>(#REF!)</f>
        <v>#REF!</v>
      </c>
    </row>
    <row r="17" spans="1:13" x14ac:dyDescent="0.2">
      <c r="A17" s="23">
        <v>5</v>
      </c>
      <c r="B17" s="22">
        <f>('WAC(%)'!B16)</f>
        <v>370.15</v>
      </c>
      <c r="C17" s="22">
        <f>(Color!B17)</f>
        <v>60.6</v>
      </c>
      <c r="D17" s="22">
        <f>(Color!J17)</f>
        <v>3.82</v>
      </c>
      <c r="E17" s="22">
        <f>(Color!R17)</f>
        <v>18.190000000000001</v>
      </c>
      <c r="F17" s="22">
        <f>(Color!Z17)</f>
        <v>0</v>
      </c>
      <c r="G17" s="22">
        <f>(Color!AH17)</f>
        <v>0</v>
      </c>
      <c r="H17" s="22">
        <f>(Color!AP17)</f>
        <v>0</v>
      </c>
      <c r="I17" s="22">
        <f>(Aw!B16)</f>
        <v>0.56100000000000005</v>
      </c>
      <c r="J17" s="22">
        <f>('%MC'!B16)</f>
        <v>8.98</v>
      </c>
      <c r="K17" s="22">
        <f>(WSI!B16)</f>
        <v>9.2175999999999991</v>
      </c>
      <c r="L17" s="22" t="e">
        <f>(#REF!)</f>
        <v>#REF!</v>
      </c>
      <c r="M17" s="22" t="e">
        <f>(#REF!)</f>
        <v>#REF!</v>
      </c>
    </row>
    <row r="18" spans="1:13" x14ac:dyDescent="0.2">
      <c r="A18" s="23">
        <v>6</v>
      </c>
      <c r="B18" s="22">
        <f>('WAC(%)'!B17)</f>
        <v>293.91000000000003</v>
      </c>
      <c r="C18" s="22">
        <f>(Color!B18)</f>
        <v>60.27</v>
      </c>
      <c r="D18" s="22">
        <f>(Color!J18)</f>
        <v>3.87</v>
      </c>
      <c r="E18" s="22">
        <f>(Color!R18)</f>
        <v>18.489999999999998</v>
      </c>
      <c r="F18" s="22">
        <f>(Color!Z18)</f>
        <v>0</v>
      </c>
      <c r="G18" s="22">
        <f>(Color!AH18)</f>
        <v>0</v>
      </c>
      <c r="H18" s="22">
        <f>(Color!AP18)</f>
        <v>0</v>
      </c>
      <c r="I18" s="22">
        <f>(Aw!B17)</f>
        <v>0.57899999999999996</v>
      </c>
      <c r="J18" s="22">
        <f>('%MC'!B17)</f>
        <v>8.34</v>
      </c>
      <c r="K18" s="22">
        <f>(WSI!B17)</f>
        <v>8.3782999999999994</v>
      </c>
      <c r="L18" s="22" t="e">
        <f>(#REF!)</f>
        <v>#REF!</v>
      </c>
      <c r="M18" s="22" t="e">
        <f>(#REF!)</f>
        <v>#REF!</v>
      </c>
    </row>
    <row r="19" spans="1:13" x14ac:dyDescent="0.2">
      <c r="A19" s="23">
        <v>6</v>
      </c>
      <c r="B19" s="22">
        <f>('WAC(%)'!B18)</f>
        <v>313.72000000000003</v>
      </c>
      <c r="C19" s="22">
        <f>(Color!B19)</f>
        <v>60.47</v>
      </c>
      <c r="D19" s="22">
        <f>(Color!J19)</f>
        <v>3.89</v>
      </c>
      <c r="E19" s="22">
        <f>(Color!R19)</f>
        <v>18.579999999999998</v>
      </c>
      <c r="F19" s="22">
        <f>(Color!Z19)</f>
        <v>0</v>
      </c>
      <c r="G19" s="22">
        <f>(Color!AH19)</f>
        <v>0</v>
      </c>
      <c r="H19" s="22">
        <f>(Color!AP19)</f>
        <v>0</v>
      </c>
      <c r="I19" s="22">
        <f>(Aw!B18)</f>
        <v>0.56899999999999995</v>
      </c>
      <c r="J19" s="22">
        <f>('%MC'!B18)</f>
        <v>8.27</v>
      </c>
      <c r="K19" s="22">
        <f>(WSI!B18)</f>
        <v>8.4731000000000005</v>
      </c>
      <c r="L19" s="22" t="e">
        <f>(#REF!)</f>
        <v>#REF!</v>
      </c>
      <c r="M19" s="22" t="e">
        <f>(#REF!)</f>
        <v>#REF!</v>
      </c>
    </row>
    <row r="20" spans="1:13" x14ac:dyDescent="0.2">
      <c r="A20" s="23">
        <v>6</v>
      </c>
      <c r="B20" s="22">
        <f>('WAC(%)'!B19)</f>
        <v>306.85000000000002</v>
      </c>
      <c r="C20" s="22">
        <f>(Color!B20)</f>
        <v>60.65</v>
      </c>
      <c r="D20" s="22">
        <f>(Color!J20)</f>
        <v>3.87</v>
      </c>
      <c r="E20" s="22">
        <f>(Color!R20)</f>
        <v>18.489999999999998</v>
      </c>
      <c r="F20" s="22">
        <f>(Color!Z20)</f>
        <v>0</v>
      </c>
      <c r="G20" s="22">
        <f>(Color!AH20)</f>
        <v>0</v>
      </c>
      <c r="H20" s="22">
        <f>(Color!AP20)</f>
        <v>0</v>
      </c>
      <c r="I20" s="22">
        <f>(Aw!B19)</f>
        <v>0.55800000000000005</v>
      </c>
      <c r="J20" s="22">
        <f>('%MC'!B19)</f>
        <v>8.26</v>
      </c>
      <c r="K20" s="22">
        <f>(WSI!B19)</f>
        <v>8.8048000000000002</v>
      </c>
      <c r="L20" s="22" t="e">
        <f>(#REF!)</f>
        <v>#REF!</v>
      </c>
      <c r="M20" s="22" t="e">
        <f>(#REF!)</f>
        <v>#REF!</v>
      </c>
    </row>
    <row r="21" spans="1:13" x14ac:dyDescent="0.2">
      <c r="A21" s="23">
        <v>7</v>
      </c>
      <c r="B21" s="22">
        <f>('WAC(%)'!B20)</f>
        <v>297.45999999999998</v>
      </c>
      <c r="C21" s="22">
        <f>(Color!B21)</f>
        <v>59.35</v>
      </c>
      <c r="D21" s="22">
        <f>(Color!J21)</f>
        <v>4.97</v>
      </c>
      <c r="E21" s="22">
        <f>(Color!R21)</f>
        <v>16.09</v>
      </c>
      <c r="F21" s="22">
        <f>(Color!Z21)</f>
        <v>0</v>
      </c>
      <c r="G21" s="22">
        <f>(Color!AH21)</f>
        <v>0</v>
      </c>
      <c r="H21" s="22">
        <f>(Color!AP21)</f>
        <v>0</v>
      </c>
      <c r="I21" s="22">
        <f>(Aw!B20)</f>
        <v>0.627</v>
      </c>
      <c r="J21" s="22">
        <f>('%MC'!B20)</f>
        <v>8.85</v>
      </c>
      <c r="K21" s="22">
        <f>(WSI!B20)</f>
        <v>9.5637000000000008</v>
      </c>
      <c r="L21" s="22" t="e">
        <f>(#REF!)</f>
        <v>#REF!</v>
      </c>
      <c r="M21" s="22" t="e">
        <f>(#REF!)</f>
        <v>#REF!</v>
      </c>
    </row>
    <row r="22" spans="1:13" x14ac:dyDescent="0.2">
      <c r="A22" s="23">
        <v>7</v>
      </c>
      <c r="B22" s="22">
        <f>('WAC(%)'!B21)</f>
        <v>293.87</v>
      </c>
      <c r="C22" s="22">
        <f>(Color!B22)</f>
        <v>60.36</v>
      </c>
      <c r="D22" s="22">
        <f>(Color!J22)</f>
        <v>4.97</v>
      </c>
      <c r="E22" s="22">
        <f>(Color!R22)</f>
        <v>16.3</v>
      </c>
      <c r="F22" s="22">
        <f>(Color!Z22)</f>
        <v>0</v>
      </c>
      <c r="G22" s="22">
        <f>(Color!AH22)</f>
        <v>0</v>
      </c>
      <c r="H22" s="22">
        <f>(Color!AP22)</f>
        <v>0</v>
      </c>
      <c r="I22" s="22">
        <f>(Aw!B21)</f>
        <v>0.622</v>
      </c>
      <c r="J22" s="22">
        <f>('%MC'!B21)</f>
        <v>8.7799999999999994</v>
      </c>
      <c r="K22" s="22">
        <f>(WSI!B21)</f>
        <v>10.119300000000001</v>
      </c>
      <c r="L22" s="22" t="e">
        <f>(#REF!)</f>
        <v>#REF!</v>
      </c>
      <c r="M22" s="22" t="e">
        <f>(#REF!)</f>
        <v>#REF!</v>
      </c>
    </row>
    <row r="23" spans="1:13" x14ac:dyDescent="0.2">
      <c r="A23" s="23">
        <v>7</v>
      </c>
      <c r="B23" s="22">
        <f>('WAC(%)'!B22)</f>
        <v>312.27999999999997</v>
      </c>
      <c r="C23" s="22">
        <f>(Color!B23)</f>
        <v>60.38</v>
      </c>
      <c r="D23" s="22">
        <f>(Color!J23)</f>
        <v>4.91</v>
      </c>
      <c r="E23" s="22">
        <f>(Color!R23)</f>
        <v>16.32</v>
      </c>
      <c r="F23" s="22">
        <f>(Color!Z23)</f>
        <v>0</v>
      </c>
      <c r="G23" s="22">
        <f>(Color!AH23)</f>
        <v>0</v>
      </c>
      <c r="H23" s="22">
        <f>(Color!AP23)</f>
        <v>0</v>
      </c>
      <c r="I23" s="22">
        <f>(Aw!B22)</f>
        <v>0.628</v>
      </c>
      <c r="J23" s="22">
        <f>('%MC'!B22)</f>
        <v>8.73</v>
      </c>
      <c r="K23" s="22">
        <f>(WSI!B22)</f>
        <v>9.9724000000000004</v>
      </c>
      <c r="L23" s="22" t="e">
        <f>(#REF!)</f>
        <v>#REF!</v>
      </c>
      <c r="M23" s="22" t="e">
        <f>(#REF!)</f>
        <v>#REF!</v>
      </c>
    </row>
    <row r="24" spans="1:13" x14ac:dyDescent="0.2">
      <c r="A24" s="23">
        <v>8</v>
      </c>
      <c r="B24" s="22">
        <f>('WAC(%)'!B23)</f>
        <v>287.77999999999997</v>
      </c>
      <c r="C24" s="22">
        <f>(Color!B24)</f>
        <v>57.64</v>
      </c>
      <c r="D24" s="22">
        <f>(Color!J24)</f>
        <v>5.92</v>
      </c>
      <c r="E24" s="22">
        <f>(Color!R24)</f>
        <v>16.22</v>
      </c>
      <c r="F24" s="22">
        <f>(Color!Z24)</f>
        <v>0</v>
      </c>
      <c r="G24" s="22">
        <f>(Color!AH24)</f>
        <v>0</v>
      </c>
      <c r="H24" s="22">
        <f>(Color!AP24)</f>
        <v>0</v>
      </c>
      <c r="I24" s="22">
        <f>(Aw!B23)</f>
        <v>0.622</v>
      </c>
      <c r="J24" s="22">
        <f>('%MC'!B23)</f>
        <v>8.56</v>
      </c>
      <c r="K24" s="22">
        <f>(WSI!B23)</f>
        <v>11.1813</v>
      </c>
      <c r="L24" s="22" t="e">
        <f>(#REF!)</f>
        <v>#REF!</v>
      </c>
      <c r="M24" s="22" t="e">
        <f>(#REF!)</f>
        <v>#REF!</v>
      </c>
    </row>
    <row r="25" spans="1:13" x14ac:dyDescent="0.2">
      <c r="A25" s="23">
        <v>8</v>
      </c>
      <c r="B25" s="22">
        <f>('WAC(%)'!B24)</f>
        <v>292.89</v>
      </c>
      <c r="C25" s="22">
        <f>(Color!B25)</f>
        <v>58.51</v>
      </c>
      <c r="D25" s="22">
        <f>(Color!J25)</f>
        <v>5.87</v>
      </c>
      <c r="E25" s="22">
        <f>(Color!R25)</f>
        <v>16.190000000000001</v>
      </c>
      <c r="F25" s="22">
        <f>(Color!Z25)</f>
        <v>0</v>
      </c>
      <c r="G25" s="22">
        <f>(Color!AH25)</f>
        <v>0</v>
      </c>
      <c r="H25" s="22">
        <f>(Color!AP25)</f>
        <v>0</v>
      </c>
      <c r="I25" s="22">
        <f>(Aw!B24)</f>
        <v>0.61799999999999999</v>
      </c>
      <c r="J25" s="22">
        <f>('%MC'!B24)</f>
        <v>8.57</v>
      </c>
      <c r="K25" s="22">
        <f>(WSI!B24)</f>
        <v>11.89</v>
      </c>
      <c r="L25" s="22" t="e">
        <f>(#REF!)</f>
        <v>#REF!</v>
      </c>
      <c r="M25" s="22" t="e">
        <f>(#REF!)</f>
        <v>#REF!</v>
      </c>
    </row>
    <row r="26" spans="1:13" x14ac:dyDescent="0.2">
      <c r="A26" s="23">
        <v>8</v>
      </c>
      <c r="B26" s="22">
        <f>('WAC(%)'!B25)</f>
        <v>294.70999999999998</v>
      </c>
      <c r="C26" s="22">
        <f>(Color!B26)</f>
        <v>58.72</v>
      </c>
      <c r="D26" s="22">
        <f>(Color!J26)</f>
        <v>5.73</v>
      </c>
      <c r="E26" s="22">
        <f>(Color!R26)</f>
        <v>16.829999999999998</v>
      </c>
      <c r="F26" s="22">
        <f>(Color!Z26)</f>
        <v>0</v>
      </c>
      <c r="G26" s="22">
        <f>(Color!AH26)</f>
        <v>0</v>
      </c>
      <c r="H26" s="22">
        <f>(Color!AP26)</f>
        <v>0</v>
      </c>
      <c r="I26" s="22">
        <f>(Aw!B25)</f>
        <v>0.61799999999999999</v>
      </c>
      <c r="J26" s="22">
        <f>('%MC'!B25)</f>
        <v>8.39</v>
      </c>
      <c r="K26" s="22">
        <f>(WSI!B25)</f>
        <v>11.632899999999999</v>
      </c>
      <c r="L26" s="22" t="e">
        <f>(#REF!)</f>
        <v>#REF!</v>
      </c>
      <c r="M26" s="22" t="e">
        <f>(#REF!)</f>
        <v>#REF!</v>
      </c>
    </row>
    <row r="27" spans="1:13" x14ac:dyDescent="0.2">
      <c r="A27" s="23">
        <v>9</v>
      </c>
      <c r="B27" s="22">
        <f>('WAC(%)'!B26)</f>
        <v>247.09</v>
      </c>
      <c r="C27" s="22">
        <f>(Color!B27)</f>
        <v>57.6</v>
      </c>
      <c r="D27" s="22">
        <f>(Color!J27)</f>
        <v>6.51</v>
      </c>
      <c r="E27" s="22">
        <f>(Color!R27)</f>
        <v>16.27</v>
      </c>
      <c r="F27" s="22">
        <f>(Color!Z27)</f>
        <v>0</v>
      </c>
      <c r="G27" s="22">
        <f>(Color!AH27)</f>
        <v>0</v>
      </c>
      <c r="H27" s="22">
        <f>(Color!AP27)</f>
        <v>0</v>
      </c>
      <c r="I27" s="22">
        <f>(Aw!B26)</f>
        <v>0.60799999999999998</v>
      </c>
      <c r="J27" s="22">
        <f>('%MC'!B26)</f>
        <v>8.0399999999999991</v>
      </c>
      <c r="K27" s="22">
        <f>(WSI!B26)</f>
        <v>8.7348999999999997</v>
      </c>
      <c r="L27" s="22" t="e">
        <f>(#REF!)</f>
        <v>#REF!</v>
      </c>
      <c r="M27" s="22" t="e">
        <f>(#REF!)</f>
        <v>#REF!</v>
      </c>
    </row>
    <row r="28" spans="1:13" x14ac:dyDescent="0.2">
      <c r="A28" s="23">
        <v>9</v>
      </c>
      <c r="B28" s="22">
        <f>('WAC(%)'!B27)</f>
        <v>298.25</v>
      </c>
      <c r="C28" s="22">
        <f>(Color!B28)</f>
        <v>58.66</v>
      </c>
      <c r="D28" s="22">
        <f>(Color!J28)</f>
        <v>6.16</v>
      </c>
      <c r="E28" s="22" t="s">
        <v>24</v>
      </c>
      <c r="F28" s="22">
        <f>(Color!Z28)</f>
        <v>0</v>
      </c>
      <c r="G28" s="22">
        <f>(Color!AH28)</f>
        <v>0</v>
      </c>
      <c r="H28" s="22">
        <f>(Color!AP28)</f>
        <v>0</v>
      </c>
      <c r="I28" s="22">
        <f>(Aw!B27)</f>
        <v>0.60599999999999998</v>
      </c>
      <c r="J28" s="22">
        <f>('%MC'!B27)</f>
        <v>8</v>
      </c>
      <c r="K28" s="22">
        <f>(WSI!B27)</f>
        <v>8.8695000000000004</v>
      </c>
      <c r="L28" s="22" t="e">
        <f>(#REF!)</f>
        <v>#REF!</v>
      </c>
      <c r="M28" s="22" t="e">
        <f>(#REF!)</f>
        <v>#REF!</v>
      </c>
    </row>
    <row r="29" spans="1:13" x14ac:dyDescent="0.2">
      <c r="A29" s="23">
        <v>9</v>
      </c>
      <c r="B29" s="22">
        <f>('WAC(%)'!B28)</f>
        <v>300.55</v>
      </c>
      <c r="C29" s="22">
        <f>(Color!B29)</f>
        <v>58.18</v>
      </c>
      <c r="D29" s="22">
        <f>(Color!J29)</f>
        <v>6.34</v>
      </c>
      <c r="E29" s="22">
        <f>(Color!R29)</f>
        <v>16.38</v>
      </c>
      <c r="F29" s="22">
        <f>(Color!Z29)</f>
        <v>0</v>
      </c>
      <c r="G29" s="22">
        <f>(Color!AH29)</f>
        <v>0</v>
      </c>
      <c r="H29" s="22">
        <f>(Color!AP29)</f>
        <v>0</v>
      </c>
      <c r="I29" s="22">
        <f>(Aw!B28)</f>
        <v>0.60799999999999998</v>
      </c>
      <c r="J29" s="22">
        <f>('%MC'!B28)</f>
        <v>8.0500000000000007</v>
      </c>
      <c r="K29" s="22">
        <f>(WSI!B28)</f>
        <v>8.4171999999999993</v>
      </c>
      <c r="L29" s="22" t="e">
        <f>(#REF!)</f>
        <v>#REF!</v>
      </c>
      <c r="M29" s="22" t="e">
        <f>(#REF!)</f>
        <v>#REF!</v>
      </c>
    </row>
    <row r="30" spans="1:13" x14ac:dyDescent="0.2">
      <c r="B30" s="22">
        <f>('WAC(%)'!B29)</f>
        <v>360.62</v>
      </c>
      <c r="C30" s="22">
        <f>(Color!B30)</f>
        <v>62.05</v>
      </c>
      <c r="D30" s="22">
        <f>(Color!J30)</f>
        <v>3.8</v>
      </c>
      <c r="E30" s="22">
        <f>(Color!R30)</f>
        <v>17.18</v>
      </c>
      <c r="F30" s="22">
        <f>(Color!Z30)</f>
        <v>0</v>
      </c>
      <c r="G30" s="22">
        <f>(Color!AH30)</f>
        <v>0</v>
      </c>
      <c r="H30" s="22">
        <f>(Color!AP30)</f>
        <v>0</v>
      </c>
      <c r="I30" s="22">
        <f>(Aw!B29)</f>
        <v>0.65100000000000002</v>
      </c>
      <c r="J30" s="22">
        <f>('%MC'!B29)</f>
        <v>12.05</v>
      </c>
      <c r="K30" s="22">
        <f>(WSI!B29)</f>
        <v>10.104699999999999</v>
      </c>
      <c r="L30" s="22" t="e">
        <f>(#REF!)</f>
        <v>#REF!</v>
      </c>
      <c r="M30" s="22" t="e">
        <f>(#REF!)</f>
        <v>#REF!</v>
      </c>
    </row>
    <row r="31" spans="1:13" x14ac:dyDescent="0.2">
      <c r="B31" s="22">
        <f>('WAC(%)'!B30)</f>
        <v>362.04</v>
      </c>
      <c r="C31" s="22">
        <f>(Color!B31)</f>
        <v>62.15</v>
      </c>
      <c r="D31" s="22">
        <f>(Color!J31)</f>
        <v>3.77</v>
      </c>
      <c r="E31" s="22">
        <f>(Color!R31)</f>
        <v>17.21</v>
      </c>
      <c r="F31" s="22">
        <f>(Color!Z31)</f>
        <v>0</v>
      </c>
      <c r="G31" s="22">
        <f>(Color!AH31)</f>
        <v>0</v>
      </c>
      <c r="H31" s="22">
        <f>(Color!AP31)</f>
        <v>0</v>
      </c>
      <c r="I31" s="22">
        <f>(Aw!B30)</f>
        <v>0.66400000000000003</v>
      </c>
      <c r="J31" s="22">
        <f>('%MC'!B30)</f>
        <v>11.93</v>
      </c>
      <c r="K31" s="22">
        <f>(WSI!B30)</f>
        <v>10.074199999999999</v>
      </c>
      <c r="L31" s="22" t="e">
        <f>(#REF!)</f>
        <v>#REF!</v>
      </c>
      <c r="M31" s="22" t="e">
        <f>(#REF!)</f>
        <v>#REF!</v>
      </c>
    </row>
    <row r="32" spans="1:13" x14ac:dyDescent="0.2">
      <c r="B32" s="22">
        <f>('WAC(%)'!B31)</f>
        <v>370.15</v>
      </c>
      <c r="C32" s="22">
        <f>(Color!B32)</f>
        <v>62.13</v>
      </c>
      <c r="D32" s="22">
        <f>(Color!J32)</f>
        <v>3.82</v>
      </c>
      <c r="E32" s="22">
        <f>(Color!R32)</f>
        <v>17.190000000000001</v>
      </c>
      <c r="F32" s="22">
        <f>(Color!Z32)</f>
        <v>0</v>
      </c>
      <c r="G32" s="22">
        <f>(Color!AH32)</f>
        <v>0</v>
      </c>
      <c r="H32" s="22">
        <f>(Color!AP32)</f>
        <v>0</v>
      </c>
      <c r="I32" s="22">
        <f>(Aw!B31)</f>
        <v>0.66200000000000003</v>
      </c>
      <c r="J32" s="22">
        <f>('%MC'!B31)</f>
        <v>11.88</v>
      </c>
      <c r="K32" s="22">
        <f>(WSI!B31)</f>
        <v>10.554399999999999</v>
      </c>
      <c r="L32" s="22" t="e">
        <f>(#REF!)</f>
        <v>#REF!</v>
      </c>
      <c r="M32" s="22" t="e">
        <f>(#REF!)</f>
        <v>#REF!</v>
      </c>
    </row>
  </sheetData>
  <mergeCells count="8">
    <mergeCell ref="M1:M2"/>
    <mergeCell ref="A1:A2"/>
    <mergeCell ref="B1:B2"/>
    <mergeCell ref="C1:H1"/>
    <mergeCell ref="I1:I2"/>
    <mergeCell ref="J1:J2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WAC(%)</vt:lpstr>
      <vt:lpstr>Color</vt:lpstr>
      <vt:lpstr>Zone inihibition</vt:lpstr>
      <vt:lpstr>Aw</vt:lpstr>
      <vt:lpstr>%MC</vt:lpstr>
      <vt:lpstr>WSI</vt:lpstr>
      <vt:lpstr>DO NOT INPUT ANYTHING HERE!!!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Sonio, II Sabejon</dc:creator>
  <cp:lastModifiedBy>Microsoft Office User</cp:lastModifiedBy>
  <dcterms:created xsi:type="dcterms:W3CDTF">2024-03-19T20:02:00Z</dcterms:created>
  <dcterms:modified xsi:type="dcterms:W3CDTF">2026-05-06T03:52:06Z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90bb33a9d4294a3eb281634b6e18b4db</vt:lpwstr>
  </property>
  <property fmtid="{D5CDD505-2E9C-101B-9397-08002B2CF9AE}" pid="4" name="KSOProductBuildVer">
    <vt:lpwstr>1033-12.1.0.25862</vt:lpwstr>
  </property>
</Properties>
</file>