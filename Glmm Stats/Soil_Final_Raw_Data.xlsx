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ricearlpiamonte/Desktop/Thesis Final Data/"/>
    </mc:Choice>
  </mc:AlternateContent>
  <xr:revisionPtr revIDLastSave="0" documentId="13_ncr:1_{ADFDBA31-00EA-734A-BFE7-564C642947B3}" xr6:coauthVersionLast="47" xr6:coauthVersionMax="47" xr10:uidLastSave="{00000000-0000-0000-0000-000000000000}"/>
  <bookViews>
    <workbookView xWindow="0" yWindow="600" windowWidth="16820" windowHeight="18780" activeTab="2" xr2:uid="{48751F7B-20A8-B945-8C28-B1A9A83E3A02}"/>
  </bookViews>
  <sheets>
    <sheet name="Carbon" sheetId="1" r:id="rId1"/>
    <sheet name="Nitrogen" sheetId="2" r:id="rId2"/>
    <sheet name="Phosphor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2" i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2" i="2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2" i="3"/>
  <c r="L2" i="3"/>
  <c r="I37" i="2"/>
  <c r="I73" i="1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19" i="3"/>
  <c r="F20" i="3"/>
  <c r="F21" i="3"/>
  <c r="F22" i="3"/>
  <c r="F23" i="3"/>
  <c r="F24" i="3"/>
  <c r="F25" i="3"/>
  <c r="M25" i="3" s="1"/>
  <c r="F26" i="3"/>
  <c r="F27" i="3"/>
  <c r="F28" i="3"/>
  <c r="F29" i="3"/>
  <c r="F30" i="3"/>
  <c r="F31" i="3"/>
  <c r="F32" i="3"/>
  <c r="F33" i="3"/>
  <c r="M33" i="3" s="1"/>
  <c r="F34" i="3"/>
  <c r="F35" i="3"/>
  <c r="F36" i="3"/>
  <c r="F37" i="3"/>
  <c r="F19" i="3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F20" i="2"/>
  <c r="F21" i="2"/>
  <c r="F22" i="2"/>
  <c r="F23" i="2"/>
  <c r="F24" i="2"/>
  <c r="F25" i="2"/>
  <c r="F26" i="2"/>
  <c r="M26" i="2" s="1"/>
  <c r="F27" i="2"/>
  <c r="F28" i="2"/>
  <c r="F29" i="2"/>
  <c r="F30" i="2"/>
  <c r="F31" i="2"/>
  <c r="F32" i="2"/>
  <c r="F33" i="2"/>
  <c r="F34" i="2"/>
  <c r="M34" i="2" s="1"/>
  <c r="F35" i="2"/>
  <c r="F36" i="2"/>
  <c r="F37" i="2"/>
  <c r="F19" i="2"/>
  <c r="R60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R56" i="1"/>
  <c r="R57" i="1"/>
  <c r="R58" i="1"/>
  <c r="R59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55" i="1"/>
  <c r="M56" i="1"/>
  <c r="M57" i="1"/>
  <c r="M61" i="1"/>
  <c r="M62" i="1"/>
  <c r="M64" i="1"/>
  <c r="M65" i="1"/>
  <c r="M66" i="1"/>
  <c r="M67" i="1"/>
  <c r="M68" i="1"/>
  <c r="M71" i="1"/>
  <c r="M73" i="1"/>
  <c r="L56" i="1"/>
  <c r="L57" i="1"/>
  <c r="L58" i="1"/>
  <c r="M58" i="1" s="1"/>
  <c r="L59" i="1"/>
  <c r="M59" i="1" s="1"/>
  <c r="L60" i="1"/>
  <c r="M60" i="1" s="1"/>
  <c r="L61" i="1"/>
  <c r="L62" i="1"/>
  <c r="L63" i="1"/>
  <c r="M63" i="1" s="1"/>
  <c r="L64" i="1"/>
  <c r="L65" i="1"/>
  <c r="L66" i="1"/>
  <c r="L67" i="1"/>
  <c r="L68" i="1"/>
  <c r="L69" i="1"/>
  <c r="M69" i="1" s="1"/>
  <c r="L70" i="1"/>
  <c r="M70" i="1" s="1"/>
  <c r="L71" i="1"/>
  <c r="L72" i="1"/>
  <c r="M72" i="1" s="1"/>
  <c r="L73" i="1"/>
  <c r="L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55" i="1"/>
  <c r="M30" i="3" l="1"/>
  <c r="M22" i="3"/>
  <c r="M20" i="2"/>
  <c r="M27" i="2"/>
  <c r="M36" i="2"/>
  <c r="M28" i="2"/>
  <c r="M35" i="3"/>
  <c r="M27" i="3"/>
  <c r="M32" i="3"/>
  <c r="M24" i="3"/>
  <c r="M31" i="3"/>
  <c r="M23" i="3"/>
  <c r="M37" i="3"/>
  <c r="M21" i="3"/>
  <c r="M36" i="3"/>
  <c r="M28" i="3"/>
  <c r="M20" i="3"/>
  <c r="M26" i="3"/>
  <c r="M29" i="3"/>
  <c r="M34" i="3"/>
  <c r="M30" i="2"/>
  <c r="M22" i="2"/>
  <c r="M37" i="2"/>
  <c r="M29" i="2"/>
  <c r="M21" i="2"/>
  <c r="M33" i="2"/>
  <c r="M25" i="2"/>
  <c r="M32" i="2"/>
  <c r="M24" i="2"/>
  <c r="M35" i="2"/>
  <c r="M31" i="2"/>
  <c r="M23" i="2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M38" i="1"/>
  <c r="M39" i="1"/>
  <c r="M42" i="1"/>
  <c r="M48" i="1"/>
  <c r="M50" i="1"/>
  <c r="M55" i="1"/>
  <c r="L38" i="1"/>
  <c r="L39" i="1"/>
  <c r="L40" i="1"/>
  <c r="M40" i="1" s="1"/>
  <c r="L41" i="1"/>
  <c r="M41" i="1" s="1"/>
  <c r="L42" i="1"/>
  <c r="L43" i="1"/>
  <c r="M43" i="1" s="1"/>
  <c r="L44" i="1"/>
  <c r="M44" i="1" s="1"/>
  <c r="L45" i="1"/>
  <c r="M45" i="1" s="1"/>
  <c r="L46" i="1"/>
  <c r="M46" i="1" s="1"/>
  <c r="L47" i="1"/>
  <c r="M47" i="1" s="1"/>
  <c r="L48" i="1"/>
  <c r="L49" i="1"/>
  <c r="M49" i="1" s="1"/>
  <c r="L50" i="1"/>
  <c r="L51" i="1"/>
  <c r="M51" i="1" s="1"/>
  <c r="L52" i="1"/>
  <c r="M52" i="1" s="1"/>
  <c r="L53" i="1"/>
  <c r="M53" i="1" s="1"/>
  <c r="L54" i="1"/>
  <c r="M54" i="1" s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F20" i="1"/>
  <c r="L28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20" i="1"/>
  <c r="S19" i="1"/>
  <c r="I2" i="3"/>
  <c r="L21" i="1"/>
  <c r="L22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2" i="1"/>
  <c r="L20" i="1"/>
  <c r="I33" i="1"/>
  <c r="I21" i="1"/>
  <c r="I22" i="1"/>
  <c r="I23" i="1"/>
  <c r="I24" i="1"/>
  <c r="I25" i="1"/>
  <c r="I26" i="1"/>
  <c r="I27" i="1"/>
  <c r="I28" i="1"/>
  <c r="I29" i="1"/>
  <c r="I30" i="1"/>
  <c r="I31" i="1"/>
  <c r="I32" i="1"/>
  <c r="I34" i="1"/>
  <c r="I35" i="1"/>
  <c r="I36" i="1"/>
  <c r="I37" i="1"/>
  <c r="I20" i="1"/>
  <c r="F29" i="1"/>
  <c r="F30" i="1"/>
  <c r="F31" i="1"/>
  <c r="F32" i="1"/>
  <c r="F33" i="1"/>
  <c r="F34" i="1"/>
  <c r="F35" i="1"/>
  <c r="F36" i="1"/>
  <c r="F37" i="1"/>
  <c r="F21" i="1"/>
  <c r="F22" i="1"/>
  <c r="F23" i="1"/>
  <c r="F24" i="1"/>
  <c r="F25" i="1"/>
  <c r="F26" i="1"/>
  <c r="F28" i="1"/>
  <c r="F10" i="1"/>
  <c r="F2" i="1"/>
  <c r="S18" i="1"/>
  <c r="S5" i="1"/>
  <c r="S7" i="1"/>
  <c r="S8" i="1"/>
  <c r="S9" i="1"/>
  <c r="S15" i="1"/>
  <c r="S16" i="1"/>
  <c r="S3" i="1"/>
  <c r="S4" i="1"/>
  <c r="S6" i="1"/>
  <c r="S10" i="1"/>
  <c r="S11" i="1"/>
  <c r="S12" i="1"/>
  <c r="S13" i="1"/>
  <c r="S14" i="1"/>
  <c r="S17" i="1"/>
  <c r="S2" i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M19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" i="3"/>
  <c r="F3" i="2"/>
  <c r="F4" i="2"/>
  <c r="F5" i="2"/>
  <c r="M5" i="2" s="1"/>
  <c r="F6" i="2"/>
  <c r="F7" i="2"/>
  <c r="F8" i="2"/>
  <c r="M8" i="2" s="1"/>
  <c r="F9" i="2"/>
  <c r="F10" i="2"/>
  <c r="M10" i="2" s="1"/>
  <c r="F11" i="2"/>
  <c r="F12" i="2"/>
  <c r="F13" i="2"/>
  <c r="M13" i="2" s="1"/>
  <c r="F14" i="2"/>
  <c r="F15" i="2"/>
  <c r="F16" i="2"/>
  <c r="F17" i="2"/>
  <c r="F18" i="2"/>
  <c r="F2" i="2"/>
  <c r="F3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M18" i="3" l="1"/>
  <c r="M10" i="3"/>
  <c r="M2" i="3"/>
  <c r="M17" i="3"/>
  <c r="M15" i="2"/>
  <c r="M7" i="2"/>
  <c r="M11" i="2"/>
  <c r="M9" i="3"/>
  <c r="M6" i="3"/>
  <c r="M14" i="3"/>
  <c r="M15" i="3"/>
  <c r="M7" i="3"/>
  <c r="M12" i="3"/>
  <c r="M19" i="3"/>
  <c r="M11" i="3"/>
  <c r="M3" i="3"/>
  <c r="M13" i="3"/>
  <c r="M4" i="3"/>
  <c r="M5" i="3"/>
  <c r="M16" i="3"/>
  <c r="M8" i="3"/>
  <c r="M6" i="2"/>
  <c r="M14" i="2"/>
  <c r="M12" i="2"/>
  <c r="M18" i="2"/>
  <c r="M2" i="2"/>
  <c r="M17" i="2"/>
  <c r="M9" i="2"/>
  <c r="M4" i="2"/>
  <c r="M3" i="2"/>
  <c r="M16" i="2"/>
  <c r="M25" i="1"/>
  <c r="M34" i="1"/>
  <c r="M31" i="1"/>
  <c r="M22" i="1"/>
  <c r="M2" i="1"/>
  <c r="M30" i="1"/>
  <c r="M21" i="1"/>
  <c r="M20" i="1"/>
  <c r="M5" i="1"/>
  <c r="M37" i="1"/>
  <c r="M29" i="1"/>
  <c r="M36" i="1"/>
  <c r="M33" i="1"/>
  <c r="M24" i="1"/>
  <c r="M13" i="1"/>
  <c r="M19" i="1"/>
  <c r="M27" i="1"/>
  <c r="M26" i="1"/>
  <c r="M35" i="1"/>
  <c r="M32" i="1"/>
  <c r="M23" i="1"/>
  <c r="M28" i="1"/>
  <c r="M14" i="1"/>
  <c r="M6" i="1"/>
  <c r="M12" i="1"/>
  <c r="M4" i="1"/>
  <c r="M11" i="1"/>
  <c r="M3" i="1"/>
  <c r="M18" i="1"/>
  <c r="M10" i="1"/>
  <c r="M17" i="1"/>
  <c r="M9" i="1"/>
  <c r="M16" i="1"/>
  <c r="M8" i="1"/>
  <c r="M15" i="1"/>
  <c r="M7" i="1"/>
</calcChain>
</file>

<file path=xl/sharedStrings.xml><?xml version="1.0" encoding="utf-8"?>
<sst xmlns="http://schemas.openxmlformats.org/spreadsheetml/2006/main" count="338" uniqueCount="32">
  <si>
    <t>I</t>
  </si>
  <si>
    <t>C</t>
  </si>
  <si>
    <t>plot</t>
  </si>
  <si>
    <t>vol</t>
  </si>
  <si>
    <t>con_wt</t>
  </si>
  <si>
    <t>wet_wt</t>
  </si>
  <si>
    <t>pen_cm</t>
  </si>
  <si>
    <t>rec_cm</t>
  </si>
  <si>
    <t>first_dry</t>
  </si>
  <si>
    <t>sec_dry</t>
  </si>
  <si>
    <t>fin_dry_wt</t>
  </si>
  <si>
    <t>fin_wet_wt</t>
  </si>
  <si>
    <t>dbd</t>
  </si>
  <si>
    <t>cer_cru</t>
  </si>
  <si>
    <t>bef_dry</t>
  </si>
  <si>
    <t>oven_dry</t>
  </si>
  <si>
    <t>post_ign</t>
  </si>
  <si>
    <t>som</t>
  </si>
  <si>
    <t>soc</t>
  </si>
  <si>
    <t>car_den</t>
  </si>
  <si>
    <t>i</t>
  </si>
  <si>
    <t>c</t>
  </si>
  <si>
    <t>total_nitrogen</t>
  </si>
  <si>
    <t>total_phos</t>
  </si>
  <si>
    <t>nitrogen_den</t>
  </si>
  <si>
    <t>phos_den</t>
  </si>
  <si>
    <t>Week_0</t>
  </si>
  <si>
    <t>Week_3</t>
  </si>
  <si>
    <t>Week_6</t>
  </si>
  <si>
    <t>Week_9</t>
  </si>
  <si>
    <t>period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</si>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</sst>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00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EED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591D-47E8-234C-B306-43B7D3889C7D}">
  <dimension ref="A1:T73"/>
  <sheetViews>
    <sheetView zoomScale="85" zoomScaleNormal="100" workbookViewId="0">
      <pane ySplit="1" topLeftCell="A2" activePane="bottomLeft" state="frozen"/>
      <selection pane="bottomLeft" activeCell="B17" sqref="B17"/>
    </sheetView>
  </sheetViews>
  <sheetFormatPr baseColWidth="10" defaultColWidth="17.6640625" defaultRowHeight="16" x14ac:dyDescent="0.2"/>
  <cols>
    <col min="1" max="1" width="17.6640625" style="1"/>
    <col min="2" max="2" width="17.1640625" style="1" customWidth="1"/>
    <col min="3" max="8" width="17.6640625" style="1"/>
    <col min="9" max="9" width="20.5" style="6" customWidth="1"/>
    <col min="10" max="11" width="21.83203125" style="1" customWidth="1"/>
    <col min="12" max="12" width="21.83203125" style="6" customWidth="1"/>
    <col min="13" max="13" width="23.33203125" style="9" customWidth="1"/>
    <col min="14" max="14" width="25.5" style="1" customWidth="1"/>
    <col min="15" max="15" width="23.1640625" style="1" customWidth="1"/>
    <col min="16" max="16" width="26" style="1" customWidth="1"/>
    <col min="17" max="17" width="21.83203125" style="1" customWidth="1"/>
    <col min="18" max="18" width="17.6640625" style="11" customWidth="1"/>
    <col min="19" max="19" width="17.6640625" style="11"/>
    <col min="20" max="20" width="17.6640625" style="11" customWidth="1"/>
    <col min="21" max="16384" width="17.6640625" style="1"/>
  </cols>
  <sheetData>
    <row r="1" spans="1:20" s="2" customFormat="1" x14ac:dyDescent="0.2">
      <c r="A1" s="2" t="s">
        <v>30</v>
      </c>
      <c r="B1" s="2" t="s">
        <v>31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  <c r="I1" s="7" t="s">
        <v>11</v>
      </c>
      <c r="J1" s="2" t="s">
        <v>8</v>
      </c>
      <c r="K1" s="2" t="s">
        <v>9</v>
      </c>
      <c r="L1" s="7" t="s">
        <v>10</v>
      </c>
      <c r="M1" s="10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2" t="s">
        <v>17</v>
      </c>
      <c r="S1" s="12" t="s">
        <v>18</v>
      </c>
      <c r="T1" s="12" t="s">
        <v>19</v>
      </c>
    </row>
    <row r="2" spans="1:20" x14ac:dyDescent="0.2">
      <c r="A2" s="1" t="s">
        <v>26</v>
      </c>
      <c r="B2" s="1" t="s">
        <v>0</v>
      </c>
      <c r="C2" s="1">
        <v>1</v>
      </c>
      <c r="D2" s="1">
        <v>15</v>
      </c>
      <c r="E2" s="1">
        <v>9</v>
      </c>
      <c r="F2" s="3">
        <f>PI()*(2.25)^2*E2</f>
        <v>143.13881527918494</v>
      </c>
      <c r="G2" s="5">
        <v>4.8</v>
      </c>
      <c r="H2" s="1">
        <v>193.7</v>
      </c>
      <c r="I2" s="8">
        <f>H2-G2</f>
        <v>188.89999999999998</v>
      </c>
      <c r="J2" s="1">
        <v>115.6</v>
      </c>
      <c r="K2" s="1">
        <v>115.5</v>
      </c>
      <c r="L2" s="8">
        <f>K2-G2</f>
        <v>110.7</v>
      </c>
      <c r="M2" s="9">
        <f>L2/F2</f>
        <v>0.77337513087617304</v>
      </c>
      <c r="N2" s="1">
        <v>31.9</v>
      </c>
      <c r="O2" s="4">
        <v>36.9</v>
      </c>
      <c r="P2" s="1">
        <v>36.880000000000003</v>
      </c>
      <c r="Q2" s="4">
        <v>36.6</v>
      </c>
      <c r="R2" s="14">
        <v>5.62</v>
      </c>
      <c r="S2" s="14">
        <f>R2*0.5</f>
        <v>2.81</v>
      </c>
      <c r="T2" s="11">
        <f>(M2*(S2/100))*10*10000</f>
        <v>2173.1841177620463</v>
      </c>
    </row>
    <row r="3" spans="1:20" x14ac:dyDescent="0.2">
      <c r="A3" s="1" t="s">
        <v>26</v>
      </c>
      <c r="B3" s="1" t="s">
        <v>0</v>
      </c>
      <c r="C3" s="1">
        <v>2</v>
      </c>
      <c r="D3" s="1">
        <v>15</v>
      </c>
      <c r="E3" s="1">
        <v>6</v>
      </c>
      <c r="F3" s="3">
        <f t="shared" ref="F3:F19" si="0">PI()*(2.25)^2*E3</f>
        <v>95.425876852789969</v>
      </c>
      <c r="G3" s="5">
        <v>4.8</v>
      </c>
      <c r="H3" s="1">
        <v>152.9</v>
      </c>
      <c r="I3" s="8">
        <f t="shared" ref="I3:I19" si="1">H3-G3</f>
        <v>148.1</v>
      </c>
      <c r="J3" s="1">
        <v>94.7</v>
      </c>
      <c r="K3" s="1">
        <v>94.5</v>
      </c>
      <c r="L3" s="8">
        <f t="shared" ref="L3:L19" si="2">K3-G3</f>
        <v>89.7</v>
      </c>
      <c r="M3" s="9">
        <f t="shared" ref="M3:M18" si="3">L3/F3</f>
        <v>0.9399966021625028</v>
      </c>
      <c r="N3" s="1">
        <v>23</v>
      </c>
      <c r="O3" s="4">
        <v>28</v>
      </c>
      <c r="P3" s="1">
        <v>27.99</v>
      </c>
      <c r="Q3" s="1">
        <v>27.73</v>
      </c>
      <c r="R3" s="14">
        <v>5.21</v>
      </c>
      <c r="S3" s="14">
        <f t="shared" ref="S3:S18" si="4">R3*0.5</f>
        <v>2.605</v>
      </c>
      <c r="T3" s="11">
        <f t="shared" ref="T3:T66" si="5">(M3*(S3/100))*10*10000</f>
        <v>2448.6911486333197</v>
      </c>
    </row>
    <row r="4" spans="1:20" x14ac:dyDescent="0.2">
      <c r="A4" s="1" t="s">
        <v>26</v>
      </c>
      <c r="B4" s="1" t="s">
        <v>0</v>
      </c>
      <c r="C4" s="1">
        <v>3</v>
      </c>
      <c r="D4" s="1">
        <v>15</v>
      </c>
      <c r="E4" s="1">
        <v>8</v>
      </c>
      <c r="F4" s="3">
        <f t="shared" si="0"/>
        <v>127.23450247038662</v>
      </c>
      <c r="G4" s="5">
        <v>4.8</v>
      </c>
      <c r="H4" s="1">
        <v>130.69999999999999</v>
      </c>
      <c r="I4" s="8">
        <f t="shared" si="1"/>
        <v>125.89999999999999</v>
      </c>
      <c r="J4" s="1">
        <v>54.1</v>
      </c>
      <c r="K4" s="1">
        <v>53.9</v>
      </c>
      <c r="L4" s="8">
        <f t="shared" si="2"/>
        <v>49.1</v>
      </c>
      <c r="M4" s="9">
        <f t="shared" si="3"/>
        <v>0.38590161510183024</v>
      </c>
      <c r="N4" s="1">
        <v>24.55</v>
      </c>
      <c r="O4" s="4">
        <v>29.55</v>
      </c>
      <c r="P4" s="1">
        <v>29.46</v>
      </c>
      <c r="Q4" s="1">
        <v>28.89</v>
      </c>
      <c r="R4" s="14">
        <v>11.61</v>
      </c>
      <c r="S4" s="14">
        <f t="shared" si="4"/>
        <v>5.8049999999999997</v>
      </c>
      <c r="T4" s="11">
        <f t="shared" si="5"/>
        <v>2240.1588756661245</v>
      </c>
    </row>
    <row r="5" spans="1:20" x14ac:dyDescent="0.2">
      <c r="A5" s="1" t="s">
        <v>26</v>
      </c>
      <c r="B5" s="1" t="s">
        <v>0</v>
      </c>
      <c r="C5" s="1">
        <v>4</v>
      </c>
      <c r="D5" s="1">
        <v>15</v>
      </c>
      <c r="E5" s="1">
        <v>11</v>
      </c>
      <c r="F5" s="3">
        <f t="shared" si="0"/>
        <v>174.94744089678159</v>
      </c>
      <c r="G5" s="1">
        <v>4.8</v>
      </c>
      <c r="H5" s="1">
        <v>245</v>
      </c>
      <c r="I5" s="8">
        <f t="shared" si="1"/>
        <v>240.2</v>
      </c>
      <c r="J5" s="1">
        <v>131.5</v>
      </c>
      <c r="K5" s="1">
        <v>131.30000000000001</v>
      </c>
      <c r="L5" s="8">
        <f t="shared" si="2"/>
        <v>126.50000000000001</v>
      </c>
      <c r="M5" s="9">
        <f t="shared" si="3"/>
        <v>0.72307430935577155</v>
      </c>
      <c r="N5" s="1">
        <v>26.8</v>
      </c>
      <c r="O5" s="4">
        <v>31.81</v>
      </c>
      <c r="P5" s="1">
        <v>31.75</v>
      </c>
      <c r="Q5" s="4">
        <v>31.4</v>
      </c>
      <c r="R5" s="14">
        <v>7.07</v>
      </c>
      <c r="S5" s="14">
        <f t="shared" si="4"/>
        <v>3.5350000000000001</v>
      </c>
      <c r="T5" s="11">
        <f t="shared" si="5"/>
        <v>2556.0676835726526</v>
      </c>
    </row>
    <row r="6" spans="1:20" x14ac:dyDescent="0.2">
      <c r="A6" s="1" t="s">
        <v>26</v>
      </c>
      <c r="B6" s="1" t="s">
        <v>0</v>
      </c>
      <c r="C6" s="1">
        <v>5</v>
      </c>
      <c r="D6" s="1">
        <v>15</v>
      </c>
      <c r="E6" s="1">
        <v>10.5</v>
      </c>
      <c r="F6" s="3">
        <f t="shared" si="0"/>
        <v>166.99528449238244</v>
      </c>
      <c r="G6" s="5">
        <v>4.8</v>
      </c>
      <c r="H6" s="1">
        <v>186.5</v>
      </c>
      <c r="I6" s="8">
        <f t="shared" si="1"/>
        <v>181.7</v>
      </c>
      <c r="J6" s="1">
        <v>138.30000000000001</v>
      </c>
      <c r="K6" s="1">
        <v>82.5</v>
      </c>
      <c r="L6" s="8">
        <f t="shared" si="2"/>
        <v>77.7</v>
      </c>
      <c r="M6" s="9">
        <f t="shared" si="3"/>
        <v>0.46528259906371383</v>
      </c>
      <c r="N6" s="1">
        <v>28.82</v>
      </c>
      <c r="O6" s="4">
        <v>33.82</v>
      </c>
      <c r="P6" s="1">
        <v>33.74</v>
      </c>
      <c r="Q6" s="1">
        <v>33.33</v>
      </c>
      <c r="R6" s="14">
        <v>8.33</v>
      </c>
      <c r="S6" s="14">
        <f t="shared" si="4"/>
        <v>4.165</v>
      </c>
      <c r="T6" s="11">
        <f t="shared" si="5"/>
        <v>1937.9020251003681</v>
      </c>
    </row>
    <row r="7" spans="1:20" x14ac:dyDescent="0.2">
      <c r="A7" s="1" t="s">
        <v>26</v>
      </c>
      <c r="B7" s="1" t="s">
        <v>0</v>
      </c>
      <c r="C7" s="1">
        <v>6</v>
      </c>
      <c r="D7" s="1">
        <v>15</v>
      </c>
      <c r="E7" s="1">
        <v>12</v>
      </c>
      <c r="F7" s="3">
        <f t="shared" si="0"/>
        <v>190.85175370557994</v>
      </c>
      <c r="G7" s="5">
        <v>4.8</v>
      </c>
      <c r="H7" s="1">
        <v>239.7</v>
      </c>
      <c r="I7" s="8">
        <f t="shared" si="1"/>
        <v>234.89999999999998</v>
      </c>
      <c r="J7" s="1">
        <v>146.6</v>
      </c>
      <c r="K7" s="1">
        <v>146.6</v>
      </c>
      <c r="L7" s="8">
        <f t="shared" si="2"/>
        <v>141.79999999999998</v>
      </c>
      <c r="M7" s="9">
        <f t="shared" si="3"/>
        <v>0.74298505120759695</v>
      </c>
      <c r="N7" s="1">
        <v>25.16</v>
      </c>
      <c r="O7" s="4">
        <v>30.16</v>
      </c>
      <c r="P7" s="1">
        <v>30.11</v>
      </c>
      <c r="Q7" s="1">
        <v>29.79</v>
      </c>
      <c r="R7" s="14">
        <v>6.46</v>
      </c>
      <c r="S7" s="14">
        <f t="shared" si="4"/>
        <v>3.23</v>
      </c>
      <c r="T7" s="11">
        <f t="shared" si="5"/>
        <v>2399.8417154005383</v>
      </c>
    </row>
    <row r="8" spans="1:20" x14ac:dyDescent="0.2">
      <c r="A8" s="1" t="s">
        <v>26</v>
      </c>
      <c r="B8" s="1" t="s">
        <v>0</v>
      </c>
      <c r="C8" s="1">
        <v>7</v>
      </c>
      <c r="D8" s="1">
        <v>15</v>
      </c>
      <c r="E8" s="1">
        <v>12</v>
      </c>
      <c r="F8" s="3">
        <f t="shared" si="0"/>
        <v>190.85175370557994</v>
      </c>
      <c r="G8" s="5">
        <v>4.8</v>
      </c>
      <c r="H8" s="1">
        <v>242.3</v>
      </c>
      <c r="I8" s="8">
        <f t="shared" si="1"/>
        <v>237.5</v>
      </c>
      <c r="J8" s="1">
        <v>181.1</v>
      </c>
      <c r="K8" s="1">
        <v>147.4</v>
      </c>
      <c r="L8" s="8">
        <f t="shared" si="2"/>
        <v>142.6</v>
      </c>
      <c r="M8" s="9">
        <f t="shared" si="3"/>
        <v>0.74717678633429707</v>
      </c>
      <c r="N8" s="1">
        <v>29.87</v>
      </c>
      <c r="O8" s="4">
        <v>34.869999999999997</v>
      </c>
      <c r="P8" s="1">
        <v>34.82</v>
      </c>
      <c r="Q8" s="1">
        <v>34.49</v>
      </c>
      <c r="R8" s="14">
        <v>6.67</v>
      </c>
      <c r="S8" s="14">
        <f t="shared" si="4"/>
        <v>3.335</v>
      </c>
      <c r="T8" s="11">
        <f t="shared" si="5"/>
        <v>2491.8345824248804</v>
      </c>
    </row>
    <row r="9" spans="1:20" x14ac:dyDescent="0.2">
      <c r="A9" s="1" t="s">
        <v>26</v>
      </c>
      <c r="B9" s="1" t="s">
        <v>0</v>
      </c>
      <c r="C9" s="1">
        <v>8</v>
      </c>
      <c r="D9" s="1">
        <v>15</v>
      </c>
      <c r="E9" s="1">
        <v>7.5</v>
      </c>
      <c r="F9" s="3">
        <f t="shared" si="0"/>
        <v>119.28234606598745</v>
      </c>
      <c r="G9" s="5">
        <v>4.8</v>
      </c>
      <c r="H9" s="1">
        <v>143.6</v>
      </c>
      <c r="I9" s="8">
        <f t="shared" si="1"/>
        <v>138.79999999999998</v>
      </c>
      <c r="J9" s="1">
        <v>109.9</v>
      </c>
      <c r="K9" s="1">
        <v>68.900000000000006</v>
      </c>
      <c r="L9" s="8">
        <f t="shared" si="2"/>
        <v>64.100000000000009</v>
      </c>
      <c r="M9" s="9">
        <f t="shared" si="3"/>
        <v>0.53738044324295597</v>
      </c>
      <c r="N9" s="1">
        <v>25.39</v>
      </c>
      <c r="O9" s="4">
        <v>30.39</v>
      </c>
      <c r="P9" s="1">
        <v>30.32</v>
      </c>
      <c r="Q9" s="1">
        <v>29.92</v>
      </c>
      <c r="R9" s="14">
        <v>8.11</v>
      </c>
      <c r="S9" s="14">
        <f t="shared" si="4"/>
        <v>4.0549999999999997</v>
      </c>
      <c r="T9" s="11">
        <f t="shared" si="5"/>
        <v>2179.0776973501861</v>
      </c>
    </row>
    <row r="10" spans="1:20" x14ac:dyDescent="0.2">
      <c r="A10" s="1" t="s">
        <v>26</v>
      </c>
      <c r="B10" s="1" t="s">
        <v>0</v>
      </c>
      <c r="C10" s="1">
        <v>9</v>
      </c>
      <c r="D10" s="1">
        <v>15</v>
      </c>
      <c r="E10" s="1">
        <v>10</v>
      </c>
      <c r="F10" s="3">
        <f t="shared" si="0"/>
        <v>159.04312808798326</v>
      </c>
      <c r="G10" s="5">
        <v>4.8</v>
      </c>
      <c r="H10" s="1">
        <v>185.1</v>
      </c>
      <c r="I10" s="8">
        <f t="shared" si="1"/>
        <v>180.29999999999998</v>
      </c>
      <c r="J10" s="1">
        <v>81</v>
      </c>
      <c r="K10" s="1">
        <v>80.900000000000006</v>
      </c>
      <c r="L10" s="8">
        <f t="shared" si="2"/>
        <v>76.100000000000009</v>
      </c>
      <c r="M10" s="9">
        <f t="shared" si="3"/>
        <v>0.47848656471281925</v>
      </c>
      <c r="N10" s="1">
        <v>20.420000000000002</v>
      </c>
      <c r="O10" s="4">
        <v>25.42</v>
      </c>
      <c r="P10" s="1">
        <v>25.34</v>
      </c>
      <c r="Q10" s="4">
        <v>24.8</v>
      </c>
      <c r="R10" s="14">
        <v>10.98</v>
      </c>
      <c r="S10" s="14">
        <f t="shared" si="4"/>
        <v>5.49</v>
      </c>
      <c r="T10" s="11">
        <f t="shared" si="5"/>
        <v>2626.8912402733781</v>
      </c>
    </row>
    <row r="11" spans="1:20" x14ac:dyDescent="0.2">
      <c r="A11" s="1" t="s">
        <v>26</v>
      </c>
      <c r="B11" s="1" t="s">
        <v>1</v>
      </c>
      <c r="C11" s="1">
        <v>1</v>
      </c>
      <c r="D11" s="1">
        <v>15</v>
      </c>
      <c r="E11" s="1">
        <v>6</v>
      </c>
      <c r="F11" s="3">
        <f t="shared" si="0"/>
        <v>95.425876852789969</v>
      </c>
      <c r="G11" s="5">
        <v>4.8</v>
      </c>
      <c r="H11" s="1">
        <v>170.1</v>
      </c>
      <c r="I11" s="8">
        <f t="shared" si="1"/>
        <v>165.29999999999998</v>
      </c>
      <c r="J11" s="1">
        <v>112.9</v>
      </c>
      <c r="K11" s="1">
        <v>112.9</v>
      </c>
      <c r="L11" s="8">
        <f t="shared" si="2"/>
        <v>108.10000000000001</v>
      </c>
      <c r="M11" s="9">
        <f t="shared" si="3"/>
        <v>1.1328164179907085</v>
      </c>
      <c r="N11" s="1">
        <v>24.7</v>
      </c>
      <c r="O11" s="4">
        <v>29.7</v>
      </c>
      <c r="P11" s="1">
        <v>29.67</v>
      </c>
      <c r="Q11" s="1">
        <v>29.42</v>
      </c>
      <c r="R11" s="14">
        <v>5.03</v>
      </c>
      <c r="S11" s="14">
        <f t="shared" si="4"/>
        <v>2.5150000000000001</v>
      </c>
      <c r="T11" s="11">
        <f t="shared" si="5"/>
        <v>2849.033291246632</v>
      </c>
    </row>
    <row r="12" spans="1:20" x14ac:dyDescent="0.2">
      <c r="A12" s="1" t="s">
        <v>26</v>
      </c>
      <c r="B12" s="1" t="s">
        <v>1</v>
      </c>
      <c r="C12" s="1">
        <v>2</v>
      </c>
      <c r="D12" s="1">
        <v>15</v>
      </c>
      <c r="E12" s="1">
        <v>10</v>
      </c>
      <c r="F12" s="3">
        <f t="shared" si="0"/>
        <v>159.04312808798326</v>
      </c>
      <c r="G12" s="5">
        <v>4.8</v>
      </c>
      <c r="H12" s="1">
        <v>245.4</v>
      </c>
      <c r="I12" s="8">
        <f t="shared" si="1"/>
        <v>240.6</v>
      </c>
      <c r="J12" s="1">
        <v>135.1</v>
      </c>
      <c r="K12" s="1">
        <v>134.9</v>
      </c>
      <c r="L12" s="8">
        <f t="shared" si="2"/>
        <v>130.1</v>
      </c>
      <c r="M12" s="9">
        <f t="shared" si="3"/>
        <v>0.81801710997552923</v>
      </c>
      <c r="N12" s="1">
        <v>29.6</v>
      </c>
      <c r="O12" s="1">
        <v>34.6</v>
      </c>
      <c r="P12" s="1">
        <v>34.56</v>
      </c>
      <c r="Q12" s="1">
        <v>34.25</v>
      </c>
      <c r="R12" s="14">
        <v>6.25</v>
      </c>
      <c r="S12" s="14">
        <f t="shared" si="4"/>
        <v>3.125</v>
      </c>
      <c r="T12" s="11">
        <f t="shared" si="5"/>
        <v>2556.3034686735286</v>
      </c>
    </row>
    <row r="13" spans="1:20" x14ac:dyDescent="0.2">
      <c r="A13" s="1" t="s">
        <v>26</v>
      </c>
      <c r="B13" s="1" t="s">
        <v>1</v>
      </c>
      <c r="C13" s="1">
        <v>3</v>
      </c>
      <c r="D13" s="1">
        <v>15</v>
      </c>
      <c r="E13" s="1">
        <v>8</v>
      </c>
      <c r="F13" s="3">
        <f t="shared" si="0"/>
        <v>127.23450247038662</v>
      </c>
      <c r="G13" s="5">
        <v>4.7</v>
      </c>
      <c r="H13" s="1">
        <v>169.7</v>
      </c>
      <c r="I13" s="8">
        <f t="shared" si="1"/>
        <v>165</v>
      </c>
      <c r="J13" s="1">
        <v>92.4</v>
      </c>
      <c r="K13" s="1">
        <v>92.3</v>
      </c>
      <c r="L13" s="8">
        <f t="shared" si="2"/>
        <v>87.6</v>
      </c>
      <c r="M13" s="9">
        <f t="shared" si="3"/>
        <v>0.68849249456049544</v>
      </c>
      <c r="N13" s="1">
        <v>25.96</v>
      </c>
      <c r="O13" s="4">
        <v>30.96</v>
      </c>
      <c r="P13" s="4">
        <v>30.9</v>
      </c>
      <c r="Q13" s="4">
        <v>30.5</v>
      </c>
      <c r="R13" s="14">
        <v>8.1</v>
      </c>
      <c r="S13" s="14">
        <f t="shared" si="4"/>
        <v>4.05</v>
      </c>
      <c r="T13" s="11">
        <f t="shared" si="5"/>
        <v>2788.3946029700064</v>
      </c>
    </row>
    <row r="14" spans="1:20" x14ac:dyDescent="0.2">
      <c r="A14" s="1" t="s">
        <v>26</v>
      </c>
      <c r="B14" s="1" t="s">
        <v>1</v>
      </c>
      <c r="C14" s="1">
        <v>4</v>
      </c>
      <c r="D14" s="1">
        <v>15</v>
      </c>
      <c r="E14" s="1">
        <v>11</v>
      </c>
      <c r="F14" s="3">
        <f t="shared" si="0"/>
        <v>174.94744089678159</v>
      </c>
      <c r="G14" s="5">
        <v>4.8</v>
      </c>
      <c r="H14" s="1">
        <v>228.5</v>
      </c>
      <c r="I14" s="8">
        <f t="shared" si="1"/>
        <v>223.7</v>
      </c>
      <c r="J14" s="1">
        <v>103.4</v>
      </c>
      <c r="K14" s="1">
        <v>103.1</v>
      </c>
      <c r="L14" s="8">
        <f t="shared" si="2"/>
        <v>98.3</v>
      </c>
      <c r="M14" s="9">
        <f t="shared" si="3"/>
        <v>0.56188304039266668</v>
      </c>
      <c r="N14" s="1">
        <v>18.27</v>
      </c>
      <c r="O14" s="4">
        <v>23.27</v>
      </c>
      <c r="P14" s="1">
        <v>23.21</v>
      </c>
      <c r="Q14" s="1">
        <v>22.81</v>
      </c>
      <c r="R14" s="14">
        <v>8.09</v>
      </c>
      <c r="S14" s="14">
        <f>R14*0.5</f>
        <v>4.0449999999999999</v>
      </c>
      <c r="T14" s="11">
        <f t="shared" si="5"/>
        <v>2272.816898388337</v>
      </c>
    </row>
    <row r="15" spans="1:20" x14ac:dyDescent="0.2">
      <c r="A15" s="1" t="s">
        <v>26</v>
      </c>
      <c r="B15" s="1" t="s">
        <v>1</v>
      </c>
      <c r="C15" s="1">
        <v>5</v>
      </c>
      <c r="D15" s="1">
        <v>15</v>
      </c>
      <c r="E15" s="1">
        <v>6</v>
      </c>
      <c r="F15" s="3">
        <f t="shared" si="0"/>
        <v>95.425876852789969</v>
      </c>
      <c r="G15" s="5">
        <v>4.9000000000000004</v>
      </c>
      <c r="H15" s="1">
        <v>121.8</v>
      </c>
      <c r="I15" s="8">
        <f t="shared" si="1"/>
        <v>116.89999999999999</v>
      </c>
      <c r="J15" s="1">
        <v>50.3</v>
      </c>
      <c r="K15" s="1">
        <v>50.1</v>
      </c>
      <c r="L15" s="8">
        <f t="shared" si="2"/>
        <v>45.2</v>
      </c>
      <c r="M15" s="9">
        <f t="shared" si="3"/>
        <v>0.47366606931711408</v>
      </c>
      <c r="N15" s="1">
        <v>21.02</v>
      </c>
      <c r="O15" s="4">
        <v>26.02</v>
      </c>
      <c r="P15" s="1">
        <v>25.94</v>
      </c>
      <c r="Q15" s="1">
        <v>25.48</v>
      </c>
      <c r="R15" s="14">
        <v>9.34</v>
      </c>
      <c r="S15" s="14">
        <f>R15*0.5</f>
        <v>4.67</v>
      </c>
      <c r="T15" s="11">
        <f t="shared" si="5"/>
        <v>2212.020543710923</v>
      </c>
    </row>
    <row r="16" spans="1:20" x14ac:dyDescent="0.2">
      <c r="A16" s="1" t="s">
        <v>26</v>
      </c>
      <c r="B16" s="1" t="s">
        <v>1</v>
      </c>
      <c r="C16" s="1">
        <v>6</v>
      </c>
      <c r="D16" s="1">
        <v>15</v>
      </c>
      <c r="E16" s="1">
        <v>8.5</v>
      </c>
      <c r="F16" s="3">
        <f t="shared" si="0"/>
        <v>135.18665887478579</v>
      </c>
      <c r="G16" s="5">
        <v>4.9000000000000004</v>
      </c>
      <c r="H16" s="1">
        <v>147.6</v>
      </c>
      <c r="I16" s="8">
        <f t="shared" si="1"/>
        <v>142.69999999999999</v>
      </c>
      <c r="J16" s="1">
        <v>74.900000000000006</v>
      </c>
      <c r="K16" s="1">
        <v>74.900000000000006</v>
      </c>
      <c r="L16" s="8">
        <f t="shared" si="2"/>
        <v>70</v>
      </c>
      <c r="M16" s="9">
        <f t="shared" si="3"/>
        <v>0.51780257447472122</v>
      </c>
      <c r="N16" s="1">
        <v>24.06</v>
      </c>
      <c r="O16" s="4">
        <v>29.06</v>
      </c>
      <c r="P16" s="4">
        <v>29</v>
      </c>
      <c r="Q16" s="4">
        <v>28.61</v>
      </c>
      <c r="R16" s="14">
        <v>7.89</v>
      </c>
      <c r="S16" s="14">
        <f t="shared" si="4"/>
        <v>3.9449999999999998</v>
      </c>
      <c r="T16" s="11">
        <f t="shared" si="5"/>
        <v>2042.7311563027754</v>
      </c>
    </row>
    <row r="17" spans="1:20" x14ac:dyDescent="0.2">
      <c r="A17" s="1" t="s">
        <v>26</v>
      </c>
      <c r="B17" s="1" t="s">
        <v>1</v>
      </c>
      <c r="C17" s="1">
        <v>7</v>
      </c>
      <c r="D17" s="1">
        <v>15</v>
      </c>
      <c r="E17" s="1">
        <v>9</v>
      </c>
      <c r="F17" s="3">
        <f t="shared" si="0"/>
        <v>143.13881527918494</v>
      </c>
      <c r="G17" s="5">
        <v>4.9000000000000004</v>
      </c>
      <c r="H17" s="1">
        <v>177.6</v>
      </c>
      <c r="I17" s="8">
        <f t="shared" si="1"/>
        <v>172.7</v>
      </c>
      <c r="J17" s="1">
        <v>94.6</v>
      </c>
      <c r="K17" s="1">
        <v>94.4</v>
      </c>
      <c r="L17" s="8">
        <f t="shared" si="2"/>
        <v>89.5</v>
      </c>
      <c r="M17" s="9">
        <f t="shared" si="3"/>
        <v>0.6252671563994352</v>
      </c>
      <c r="N17" s="1">
        <v>25.25</v>
      </c>
      <c r="O17" s="4">
        <v>30.25</v>
      </c>
      <c r="P17" s="1">
        <v>30.18</v>
      </c>
      <c r="Q17" s="4">
        <v>29.79</v>
      </c>
      <c r="R17" s="14">
        <v>7.91</v>
      </c>
      <c r="S17" s="14">
        <f t="shared" si="4"/>
        <v>3.9550000000000001</v>
      </c>
      <c r="T17" s="11">
        <f t="shared" si="5"/>
        <v>2472.9316035597667</v>
      </c>
    </row>
    <row r="18" spans="1:20" x14ac:dyDescent="0.2">
      <c r="A18" s="1" t="s">
        <v>26</v>
      </c>
      <c r="B18" s="1" t="s">
        <v>1</v>
      </c>
      <c r="C18" s="1">
        <v>8</v>
      </c>
      <c r="D18" s="1">
        <v>15</v>
      </c>
      <c r="E18" s="1">
        <v>6</v>
      </c>
      <c r="F18" s="3">
        <f t="shared" si="0"/>
        <v>95.425876852789969</v>
      </c>
      <c r="G18" s="5">
        <v>4.8</v>
      </c>
      <c r="H18" s="1">
        <v>115.3</v>
      </c>
      <c r="I18" s="8">
        <f t="shared" si="1"/>
        <v>110.5</v>
      </c>
      <c r="J18" s="1">
        <v>71.5</v>
      </c>
      <c r="K18" s="1">
        <v>71.400000000000006</v>
      </c>
      <c r="L18" s="8">
        <f t="shared" si="2"/>
        <v>66.600000000000009</v>
      </c>
      <c r="M18" s="9">
        <f t="shared" si="3"/>
        <v>0.6979238985955708</v>
      </c>
      <c r="N18" s="1">
        <v>24.68</v>
      </c>
      <c r="O18" s="4">
        <v>29.68</v>
      </c>
      <c r="P18" s="1">
        <v>29.62</v>
      </c>
      <c r="Q18" s="1">
        <v>29.31</v>
      </c>
      <c r="R18" s="14">
        <v>6.28</v>
      </c>
      <c r="S18" s="14">
        <f t="shared" si="4"/>
        <v>3.14</v>
      </c>
      <c r="T18" s="11">
        <f t="shared" si="5"/>
        <v>2191.4810415900924</v>
      </c>
    </row>
    <row r="19" spans="1:20" x14ac:dyDescent="0.2">
      <c r="A19" s="1" t="s">
        <v>26</v>
      </c>
      <c r="B19" s="1" t="s">
        <v>1</v>
      </c>
      <c r="C19" s="1">
        <v>9</v>
      </c>
      <c r="D19" s="1">
        <v>15</v>
      </c>
      <c r="E19" s="1">
        <v>8</v>
      </c>
      <c r="F19" s="3">
        <f t="shared" si="0"/>
        <v>127.23450247038662</v>
      </c>
      <c r="G19" s="5">
        <v>4.9000000000000004</v>
      </c>
      <c r="H19" s="1">
        <v>157.9</v>
      </c>
      <c r="I19" s="8">
        <f t="shared" si="1"/>
        <v>153</v>
      </c>
      <c r="J19" s="1">
        <v>115.5</v>
      </c>
      <c r="K19" s="1">
        <v>83.9</v>
      </c>
      <c r="L19" s="8">
        <f t="shared" si="2"/>
        <v>79</v>
      </c>
      <c r="M19" s="9">
        <f>L19/F19</f>
        <v>0.62090076564245589</v>
      </c>
      <c r="N19" s="1">
        <v>28.73</v>
      </c>
      <c r="O19" s="4">
        <v>33.729999999999997</v>
      </c>
      <c r="P19" s="1">
        <v>33.64</v>
      </c>
      <c r="Q19" s="1">
        <v>33.18</v>
      </c>
      <c r="R19" s="14">
        <v>9.98</v>
      </c>
      <c r="S19" s="14">
        <f>R19*0.5</f>
        <v>4.99</v>
      </c>
      <c r="T19" s="11">
        <f t="shared" si="5"/>
        <v>3098.2948205558546</v>
      </c>
    </row>
    <row r="20" spans="1:20" x14ac:dyDescent="0.2">
      <c r="A20" s="1" t="s">
        <v>27</v>
      </c>
      <c r="B20" s="1" t="s">
        <v>0</v>
      </c>
      <c r="C20" s="1">
        <v>1</v>
      </c>
      <c r="D20" s="1">
        <v>15</v>
      </c>
      <c r="E20" s="1">
        <v>9.5</v>
      </c>
      <c r="F20" s="3">
        <f>PI()*(2.25)^2*E20</f>
        <v>151.09097168358412</v>
      </c>
      <c r="G20" s="1">
        <v>4.9000000000000004</v>
      </c>
      <c r="H20" s="1">
        <v>200.9</v>
      </c>
      <c r="I20" s="6">
        <f>H20+G20</f>
        <v>205.8</v>
      </c>
      <c r="J20" s="1">
        <v>124.1</v>
      </c>
      <c r="K20" s="1">
        <v>124</v>
      </c>
      <c r="L20" s="6">
        <f>K20-G20</f>
        <v>119.1</v>
      </c>
      <c r="M20" s="9">
        <f>L20/F20</f>
        <v>0.78826682145787064</v>
      </c>
      <c r="N20" s="1">
        <v>31.89</v>
      </c>
      <c r="O20" s="1">
        <v>36.89</v>
      </c>
      <c r="P20" s="1">
        <v>36.869999999999997</v>
      </c>
      <c r="Q20" s="1">
        <v>36.57</v>
      </c>
      <c r="R20" s="14">
        <v>6.02</v>
      </c>
      <c r="S20" s="14">
        <f>R20*0.5</f>
        <v>3.01</v>
      </c>
      <c r="T20" s="11">
        <f t="shared" si="5"/>
        <v>2372.6831325881908</v>
      </c>
    </row>
    <row r="21" spans="1:20" x14ac:dyDescent="0.2">
      <c r="A21" s="1" t="s">
        <v>27</v>
      </c>
      <c r="B21" s="1" t="s">
        <v>0</v>
      </c>
      <c r="C21" s="1">
        <v>2</v>
      </c>
      <c r="D21" s="1">
        <v>15</v>
      </c>
      <c r="E21" s="1">
        <v>10</v>
      </c>
      <c r="F21" s="3">
        <f t="shared" ref="F21:F54" si="6">PI()*(2.25)^2*E21</f>
        <v>159.04312808798326</v>
      </c>
      <c r="G21" s="1">
        <v>4.8</v>
      </c>
      <c r="H21" s="1">
        <v>193.9</v>
      </c>
      <c r="I21" s="6">
        <f t="shared" ref="I21:I37" si="7">H21+G21</f>
        <v>198.70000000000002</v>
      </c>
      <c r="J21" s="1">
        <v>112.9</v>
      </c>
      <c r="K21" s="1">
        <v>112.9</v>
      </c>
      <c r="L21" s="6">
        <f t="shared" ref="L21:L54" si="8">K21-G21</f>
        <v>108.10000000000001</v>
      </c>
      <c r="M21" s="9">
        <f t="shared" ref="M21:M73" si="9">L21/F21</f>
        <v>0.67968985079442523</v>
      </c>
      <c r="N21" s="1">
        <v>24.7</v>
      </c>
      <c r="O21" s="1">
        <v>29.7</v>
      </c>
      <c r="P21" s="1">
        <v>29.67</v>
      </c>
      <c r="Q21" s="1">
        <v>29.38</v>
      </c>
      <c r="R21" s="14">
        <v>5.84</v>
      </c>
      <c r="S21" s="14">
        <f t="shared" ref="S21:S37" si="10">R21*0.5</f>
        <v>2.92</v>
      </c>
      <c r="T21" s="11">
        <f t="shared" si="5"/>
        <v>1984.6943643197219</v>
      </c>
    </row>
    <row r="22" spans="1:20" x14ac:dyDescent="0.2">
      <c r="A22" s="1" t="s">
        <v>27</v>
      </c>
      <c r="B22" s="1" t="s">
        <v>0</v>
      </c>
      <c r="C22" s="1">
        <v>3</v>
      </c>
      <c r="D22" s="1">
        <v>15</v>
      </c>
      <c r="E22" s="1">
        <v>6</v>
      </c>
      <c r="F22" s="3">
        <f t="shared" si="6"/>
        <v>95.425876852789969</v>
      </c>
      <c r="G22" s="1">
        <v>4.8</v>
      </c>
      <c r="H22" s="1">
        <v>114.8</v>
      </c>
      <c r="I22" s="6">
        <f t="shared" si="7"/>
        <v>119.6</v>
      </c>
      <c r="J22" s="1">
        <v>51.1</v>
      </c>
      <c r="K22" s="1">
        <v>51.1</v>
      </c>
      <c r="L22" s="6">
        <f t="shared" si="8"/>
        <v>46.300000000000004</v>
      </c>
      <c r="M22" s="9">
        <f t="shared" si="9"/>
        <v>0.4851933409155394</v>
      </c>
      <c r="N22" s="1">
        <v>20.420000000000002</v>
      </c>
      <c r="O22" s="1">
        <v>25.42</v>
      </c>
      <c r="P22" s="1">
        <v>25.35</v>
      </c>
      <c r="Q22" s="1">
        <v>24.8</v>
      </c>
      <c r="R22" s="14">
        <v>11.16</v>
      </c>
      <c r="S22" s="14">
        <f t="shared" si="10"/>
        <v>5.58</v>
      </c>
      <c r="T22" s="11">
        <f t="shared" si="5"/>
        <v>2707.3788423087099</v>
      </c>
    </row>
    <row r="23" spans="1:20" x14ac:dyDescent="0.2">
      <c r="A23" s="1" t="s">
        <v>27</v>
      </c>
      <c r="B23" s="1" t="s">
        <v>0</v>
      </c>
      <c r="C23" s="1">
        <v>4</v>
      </c>
      <c r="D23" s="1">
        <v>15</v>
      </c>
      <c r="E23" s="1">
        <v>6</v>
      </c>
      <c r="F23" s="3">
        <f t="shared" si="6"/>
        <v>95.425876852789969</v>
      </c>
      <c r="G23" s="1">
        <v>4.9000000000000004</v>
      </c>
      <c r="H23" s="1">
        <v>110.3</v>
      </c>
      <c r="I23" s="6">
        <f t="shared" si="7"/>
        <v>115.2</v>
      </c>
      <c r="J23" s="1">
        <v>55.6</v>
      </c>
      <c r="K23" s="1">
        <v>55.6</v>
      </c>
      <c r="L23" s="6">
        <f t="shared" si="8"/>
        <v>50.7</v>
      </c>
      <c r="M23" s="9">
        <f t="shared" si="9"/>
        <v>0.53130242730924071</v>
      </c>
      <c r="N23" s="1">
        <v>25.96</v>
      </c>
      <c r="O23" s="1">
        <v>30.96</v>
      </c>
      <c r="P23" s="1">
        <v>30.91</v>
      </c>
      <c r="Q23" s="1">
        <v>30.56</v>
      </c>
      <c r="R23" s="14">
        <v>7.07</v>
      </c>
      <c r="S23" s="14">
        <f t="shared" si="10"/>
        <v>3.5350000000000001</v>
      </c>
      <c r="T23" s="11">
        <f t="shared" si="5"/>
        <v>1878.154080538166</v>
      </c>
    </row>
    <row r="24" spans="1:20" x14ac:dyDescent="0.2">
      <c r="A24" s="1" t="s">
        <v>27</v>
      </c>
      <c r="B24" s="1" t="s">
        <v>0</v>
      </c>
      <c r="C24" s="1">
        <v>5</v>
      </c>
      <c r="D24" s="1">
        <v>15</v>
      </c>
      <c r="E24" s="1">
        <v>7.5</v>
      </c>
      <c r="F24" s="3">
        <f t="shared" si="6"/>
        <v>119.28234606598745</v>
      </c>
      <c r="G24" s="1">
        <v>4.9000000000000004</v>
      </c>
      <c r="H24" s="1">
        <v>146.4</v>
      </c>
      <c r="I24" s="6">
        <f t="shared" si="7"/>
        <v>151.30000000000001</v>
      </c>
      <c r="J24" s="1">
        <v>76.7</v>
      </c>
      <c r="K24" s="1">
        <v>76.7</v>
      </c>
      <c r="L24" s="6">
        <f t="shared" si="8"/>
        <v>71.8</v>
      </c>
      <c r="M24" s="9">
        <f t="shared" si="9"/>
        <v>0.60193316419413778</v>
      </c>
      <c r="N24" s="1">
        <v>24.55</v>
      </c>
      <c r="O24" s="1">
        <v>29.55</v>
      </c>
      <c r="P24" s="1">
        <v>29.49</v>
      </c>
      <c r="Q24" s="1">
        <v>29.06</v>
      </c>
      <c r="R24" s="14">
        <v>8.6999999999999993</v>
      </c>
      <c r="S24" s="14">
        <f t="shared" si="10"/>
        <v>4.3499999999999996</v>
      </c>
      <c r="T24" s="11">
        <f t="shared" si="5"/>
        <v>2618.4092642444989</v>
      </c>
    </row>
    <row r="25" spans="1:20" x14ac:dyDescent="0.2">
      <c r="A25" s="1" t="s">
        <v>27</v>
      </c>
      <c r="B25" s="1" t="s">
        <v>0</v>
      </c>
      <c r="C25" s="1">
        <v>6</v>
      </c>
      <c r="D25" s="1">
        <v>15</v>
      </c>
      <c r="E25" s="1">
        <v>7</v>
      </c>
      <c r="F25" s="3">
        <f t="shared" si="6"/>
        <v>111.33018966158829</v>
      </c>
      <c r="G25" s="1">
        <v>4.8</v>
      </c>
      <c r="H25" s="1">
        <v>166.6</v>
      </c>
      <c r="I25" s="6">
        <f t="shared" si="7"/>
        <v>171.4</v>
      </c>
      <c r="J25" s="1">
        <v>100.8</v>
      </c>
      <c r="K25" s="1">
        <v>100.8</v>
      </c>
      <c r="L25" s="6">
        <f t="shared" si="8"/>
        <v>96</v>
      </c>
      <c r="M25" s="9">
        <f t="shared" si="9"/>
        <v>0.862299797492597</v>
      </c>
      <c r="N25" s="1">
        <v>28.73</v>
      </c>
      <c r="O25" s="1">
        <v>33.729999999999997</v>
      </c>
      <c r="P25" s="1">
        <v>33.69</v>
      </c>
      <c r="Q25" s="1">
        <v>33.33</v>
      </c>
      <c r="R25" s="14">
        <v>7.26</v>
      </c>
      <c r="S25" s="14">
        <f t="shared" si="10"/>
        <v>3.63</v>
      </c>
      <c r="T25" s="11">
        <f t="shared" si="5"/>
        <v>3130.1482648981273</v>
      </c>
    </row>
    <row r="26" spans="1:20" x14ac:dyDescent="0.2">
      <c r="A26" s="1" t="s">
        <v>27</v>
      </c>
      <c r="B26" s="1" t="s">
        <v>0</v>
      </c>
      <c r="C26" s="1">
        <v>7</v>
      </c>
      <c r="D26" s="1">
        <v>15</v>
      </c>
      <c r="E26" s="1">
        <v>4</v>
      </c>
      <c r="F26" s="3">
        <f t="shared" si="6"/>
        <v>63.617251235193308</v>
      </c>
      <c r="G26" s="1">
        <v>4.9000000000000004</v>
      </c>
      <c r="H26" s="1">
        <v>92.6</v>
      </c>
      <c r="I26" s="6">
        <f t="shared" si="7"/>
        <v>97.5</v>
      </c>
      <c r="J26" s="1">
        <v>50.9</v>
      </c>
      <c r="K26" s="1">
        <v>50.9</v>
      </c>
      <c r="L26" s="6">
        <f t="shared" si="8"/>
        <v>46</v>
      </c>
      <c r="M26" s="9">
        <f t="shared" si="9"/>
        <v>0.72307430935577144</v>
      </c>
      <c r="N26" s="1">
        <v>18.27</v>
      </c>
      <c r="O26" s="1">
        <v>23.27</v>
      </c>
      <c r="P26" s="1">
        <v>23.23</v>
      </c>
      <c r="Q26" s="1">
        <v>22.86</v>
      </c>
      <c r="R26" s="14">
        <v>7.45</v>
      </c>
      <c r="S26" s="14">
        <f t="shared" si="10"/>
        <v>3.7250000000000001</v>
      </c>
      <c r="T26" s="11">
        <f t="shared" si="5"/>
        <v>2693.4518023502487</v>
      </c>
    </row>
    <row r="27" spans="1:20" x14ac:dyDescent="0.2">
      <c r="A27" s="1" t="s">
        <v>27</v>
      </c>
      <c r="B27" s="1" t="s">
        <v>0</v>
      </c>
      <c r="C27" s="1">
        <v>8</v>
      </c>
      <c r="D27" s="1">
        <v>15</v>
      </c>
      <c r="E27" s="1">
        <v>6.5</v>
      </c>
      <c r="F27" s="3">
        <f t="shared" si="6"/>
        <v>103.37803325718913</v>
      </c>
      <c r="G27" s="1">
        <v>4.8</v>
      </c>
      <c r="H27" s="1">
        <v>137.30000000000001</v>
      </c>
      <c r="I27" s="6">
        <f t="shared" si="7"/>
        <v>142.10000000000002</v>
      </c>
      <c r="J27" s="1">
        <v>77.400000000000006</v>
      </c>
      <c r="K27" s="1">
        <v>77.400000000000006</v>
      </c>
      <c r="L27" s="6">
        <f t="shared" si="8"/>
        <v>72.600000000000009</v>
      </c>
      <c r="M27" s="9">
        <f t="shared" si="9"/>
        <v>0.70227685430406706</v>
      </c>
      <c r="N27" s="1">
        <v>29.87</v>
      </c>
      <c r="O27" s="1">
        <v>34.869999999999997</v>
      </c>
      <c r="P27" s="1">
        <v>34.82</v>
      </c>
      <c r="Q27" s="1">
        <v>34.42</v>
      </c>
      <c r="R27" s="14">
        <v>8.08</v>
      </c>
      <c r="S27" s="14">
        <f t="shared" si="10"/>
        <v>4.04</v>
      </c>
      <c r="T27" s="11">
        <f t="shared" si="5"/>
        <v>2837.1984913884307</v>
      </c>
    </row>
    <row r="28" spans="1:20" x14ac:dyDescent="0.2">
      <c r="A28" s="1" t="s">
        <v>27</v>
      </c>
      <c r="B28" s="1" t="s">
        <v>0</v>
      </c>
      <c r="C28" s="1">
        <v>9</v>
      </c>
      <c r="D28" s="1">
        <v>15</v>
      </c>
      <c r="E28" s="1">
        <v>7.5</v>
      </c>
      <c r="F28" s="3">
        <f t="shared" si="6"/>
        <v>119.28234606598745</v>
      </c>
      <c r="G28" s="1">
        <v>4.8</v>
      </c>
      <c r="H28" s="1">
        <v>143.4</v>
      </c>
      <c r="I28" s="6">
        <f t="shared" si="7"/>
        <v>148.20000000000002</v>
      </c>
      <c r="J28" s="1">
        <v>65.8</v>
      </c>
      <c r="K28" s="1">
        <v>65.5</v>
      </c>
      <c r="L28" s="6">
        <f>K28-G28</f>
        <v>60.7</v>
      </c>
      <c r="M28" s="9">
        <f>L28/F28</f>
        <v>0.50887664438139513</v>
      </c>
      <c r="N28" s="1">
        <v>25.16</v>
      </c>
      <c r="O28" s="1">
        <v>30.16</v>
      </c>
      <c r="P28" s="1">
        <v>30.12</v>
      </c>
      <c r="Q28" s="1">
        <v>29.57</v>
      </c>
      <c r="R28" s="14">
        <v>11.08</v>
      </c>
      <c r="S28" s="14">
        <f t="shared" si="10"/>
        <v>5.54</v>
      </c>
      <c r="T28" s="11">
        <f t="shared" si="5"/>
        <v>2819.1766098729286</v>
      </c>
    </row>
    <row r="29" spans="1:20" x14ac:dyDescent="0.2">
      <c r="A29" s="1" t="s">
        <v>27</v>
      </c>
      <c r="B29" s="1" t="s">
        <v>1</v>
      </c>
      <c r="C29" s="1">
        <v>1</v>
      </c>
      <c r="D29" s="1">
        <v>15</v>
      </c>
      <c r="E29" s="1">
        <v>10</v>
      </c>
      <c r="F29" s="3">
        <f t="shared" si="6"/>
        <v>159.04312808798326</v>
      </c>
      <c r="G29" s="1">
        <v>4.8</v>
      </c>
      <c r="H29" s="1">
        <v>248.1</v>
      </c>
      <c r="I29" s="6">
        <f t="shared" si="7"/>
        <v>252.9</v>
      </c>
      <c r="J29" s="1">
        <v>161.19999999999999</v>
      </c>
      <c r="K29" s="1">
        <v>161.1</v>
      </c>
      <c r="L29" s="6">
        <f t="shared" si="8"/>
        <v>156.29999999999998</v>
      </c>
      <c r="M29" s="9">
        <f t="shared" si="9"/>
        <v>0.98275230045484407</v>
      </c>
      <c r="N29" s="1">
        <v>25.25</v>
      </c>
      <c r="O29" s="1">
        <v>30.25</v>
      </c>
      <c r="P29" s="1">
        <v>30.23</v>
      </c>
      <c r="Q29" s="1">
        <v>29.97</v>
      </c>
      <c r="R29" s="14">
        <v>5.22</v>
      </c>
      <c r="S29" s="14">
        <f t="shared" si="10"/>
        <v>2.61</v>
      </c>
      <c r="T29" s="11">
        <f t="shared" si="5"/>
        <v>2564.9835041871429</v>
      </c>
    </row>
    <row r="30" spans="1:20" x14ac:dyDescent="0.2">
      <c r="A30" s="1" t="s">
        <v>27</v>
      </c>
      <c r="B30" s="1" t="s">
        <v>1</v>
      </c>
      <c r="C30" s="1">
        <v>2</v>
      </c>
      <c r="D30" s="1">
        <v>15</v>
      </c>
      <c r="E30" s="1">
        <v>8.5</v>
      </c>
      <c r="F30" s="3">
        <f t="shared" si="6"/>
        <v>135.18665887478579</v>
      </c>
      <c r="G30" s="1">
        <v>4.8</v>
      </c>
      <c r="H30" s="1">
        <v>179.5</v>
      </c>
      <c r="I30" s="6">
        <f t="shared" si="7"/>
        <v>184.3</v>
      </c>
      <c r="J30" s="1">
        <v>101</v>
      </c>
      <c r="K30" s="1">
        <v>101</v>
      </c>
      <c r="L30" s="6">
        <f t="shared" si="8"/>
        <v>96.2</v>
      </c>
      <c r="M30" s="9">
        <f t="shared" si="9"/>
        <v>0.71160868092097407</v>
      </c>
      <c r="N30" s="1">
        <v>28.81</v>
      </c>
      <c r="O30" s="1">
        <v>33.81</v>
      </c>
      <c r="P30" s="1">
        <v>33.79</v>
      </c>
      <c r="Q30" s="1">
        <v>33.5</v>
      </c>
      <c r="R30" s="14">
        <v>5.82</v>
      </c>
      <c r="S30" s="14">
        <f t="shared" si="10"/>
        <v>2.91</v>
      </c>
      <c r="T30" s="11">
        <f t="shared" si="5"/>
        <v>2070.7812614800346</v>
      </c>
    </row>
    <row r="31" spans="1:20" x14ac:dyDescent="0.2">
      <c r="A31" s="1" t="s">
        <v>27</v>
      </c>
      <c r="B31" s="1" t="s">
        <v>1</v>
      </c>
      <c r="C31" s="1">
        <v>3</v>
      </c>
      <c r="D31" s="1">
        <v>15</v>
      </c>
      <c r="E31" s="1">
        <v>7.5</v>
      </c>
      <c r="F31" s="3">
        <f t="shared" si="6"/>
        <v>119.28234606598745</v>
      </c>
      <c r="G31" s="1">
        <v>4.8</v>
      </c>
      <c r="H31" s="1">
        <v>149.4</v>
      </c>
      <c r="I31" s="6">
        <f t="shared" si="7"/>
        <v>154.20000000000002</v>
      </c>
      <c r="J31" s="1">
        <v>76</v>
      </c>
      <c r="K31" s="1">
        <v>76</v>
      </c>
      <c r="L31" s="6">
        <f t="shared" si="8"/>
        <v>71.2</v>
      </c>
      <c r="M31" s="9">
        <f t="shared" si="9"/>
        <v>0.59690308204209774</v>
      </c>
      <c r="N31" s="1">
        <v>29.59</v>
      </c>
      <c r="O31" s="1">
        <v>34.590000000000003</v>
      </c>
      <c r="P31" s="1">
        <v>34.549999999999997</v>
      </c>
      <c r="Q31" s="1">
        <v>34.11</v>
      </c>
      <c r="R31" s="14">
        <v>8.8699999999999992</v>
      </c>
      <c r="S31" s="14">
        <f t="shared" si="10"/>
        <v>4.4349999999999996</v>
      </c>
      <c r="T31" s="11">
        <f t="shared" si="5"/>
        <v>2647.265168856703</v>
      </c>
    </row>
    <row r="32" spans="1:20" x14ac:dyDescent="0.2">
      <c r="A32" s="1" t="s">
        <v>27</v>
      </c>
      <c r="B32" s="1" t="s">
        <v>1</v>
      </c>
      <c r="C32" s="1">
        <v>4</v>
      </c>
      <c r="D32" s="1">
        <v>15</v>
      </c>
      <c r="E32" s="1">
        <v>8.5</v>
      </c>
      <c r="F32" s="3">
        <f t="shared" si="6"/>
        <v>135.18665887478579</v>
      </c>
      <c r="G32" s="1">
        <v>4.7</v>
      </c>
      <c r="H32" s="1">
        <v>181.4</v>
      </c>
      <c r="I32" s="6">
        <f t="shared" si="7"/>
        <v>186.1</v>
      </c>
      <c r="J32" s="1">
        <v>95.5</v>
      </c>
      <c r="K32" s="1">
        <v>95.5</v>
      </c>
      <c r="L32" s="6">
        <f t="shared" si="8"/>
        <v>90.8</v>
      </c>
      <c r="M32" s="9">
        <f t="shared" si="9"/>
        <v>0.67166391089006694</v>
      </c>
      <c r="N32" s="1">
        <v>24.06</v>
      </c>
      <c r="O32" s="1">
        <v>29.06</v>
      </c>
      <c r="P32" s="1">
        <v>29.02</v>
      </c>
      <c r="Q32" s="1">
        <v>28.64</v>
      </c>
      <c r="R32" s="14">
        <v>7.66</v>
      </c>
      <c r="S32" s="14">
        <f t="shared" si="10"/>
        <v>3.83</v>
      </c>
      <c r="T32" s="11">
        <f t="shared" si="5"/>
        <v>2572.4727787089564</v>
      </c>
    </row>
    <row r="33" spans="1:20" x14ac:dyDescent="0.2">
      <c r="A33" s="1" t="s">
        <v>27</v>
      </c>
      <c r="B33" s="1" t="s">
        <v>1</v>
      </c>
      <c r="C33" s="1">
        <v>5</v>
      </c>
      <c r="D33" s="1">
        <v>15</v>
      </c>
      <c r="E33" s="1">
        <v>6.5</v>
      </c>
      <c r="F33" s="3">
        <f t="shared" si="6"/>
        <v>103.37803325718913</v>
      </c>
      <c r="G33" s="1">
        <v>4.9000000000000004</v>
      </c>
      <c r="H33" s="1">
        <v>137.30000000000001</v>
      </c>
      <c r="I33" s="6">
        <f>H33+G33</f>
        <v>142.20000000000002</v>
      </c>
      <c r="J33" s="1">
        <v>66.900000000000006</v>
      </c>
      <c r="K33" s="1">
        <v>66.900000000000006</v>
      </c>
      <c r="L33" s="6">
        <f t="shared" si="8"/>
        <v>62.000000000000007</v>
      </c>
      <c r="M33" s="9">
        <f t="shared" si="9"/>
        <v>0.59974056428171019</v>
      </c>
      <c r="N33" s="1">
        <v>24.68</v>
      </c>
      <c r="O33" s="1">
        <v>29.68</v>
      </c>
      <c r="P33" s="1">
        <v>29.63</v>
      </c>
      <c r="Q33" s="1">
        <v>29.22</v>
      </c>
      <c r="R33" s="14">
        <v>8.2799999999999994</v>
      </c>
      <c r="S33" s="14">
        <f t="shared" si="10"/>
        <v>4.1399999999999997</v>
      </c>
      <c r="T33" s="11">
        <f t="shared" si="5"/>
        <v>2482.9259361262802</v>
      </c>
    </row>
    <row r="34" spans="1:20" x14ac:dyDescent="0.2">
      <c r="A34" s="1" t="s">
        <v>27</v>
      </c>
      <c r="B34" s="1" t="s">
        <v>1</v>
      </c>
      <c r="C34" s="1">
        <v>6</v>
      </c>
      <c r="D34" s="1">
        <v>15</v>
      </c>
      <c r="E34" s="1">
        <v>5</v>
      </c>
      <c r="F34" s="3">
        <f t="shared" si="6"/>
        <v>79.521564043991631</v>
      </c>
      <c r="G34" s="1">
        <v>4.8</v>
      </c>
      <c r="H34" s="1">
        <v>117.6</v>
      </c>
      <c r="I34" s="6">
        <f t="shared" si="7"/>
        <v>122.39999999999999</v>
      </c>
      <c r="J34" s="1">
        <v>60.2</v>
      </c>
      <c r="K34" s="1">
        <v>60.1</v>
      </c>
      <c r="L34" s="6">
        <f t="shared" si="8"/>
        <v>55.300000000000004</v>
      </c>
      <c r="M34" s="9">
        <f t="shared" si="9"/>
        <v>0.69540885751955073</v>
      </c>
      <c r="N34" s="1">
        <v>25.39</v>
      </c>
      <c r="O34" s="1">
        <v>30.39</v>
      </c>
      <c r="P34" s="1">
        <v>30.36</v>
      </c>
      <c r="Q34" s="1">
        <v>30.03</v>
      </c>
      <c r="R34" s="14">
        <v>6.63</v>
      </c>
      <c r="S34" s="14">
        <f t="shared" si="10"/>
        <v>3.3149999999999999</v>
      </c>
      <c r="T34" s="11">
        <f t="shared" si="5"/>
        <v>2305.2803626773107</v>
      </c>
    </row>
    <row r="35" spans="1:20" x14ac:dyDescent="0.2">
      <c r="A35" s="1" t="s">
        <v>27</v>
      </c>
      <c r="B35" s="1" t="s">
        <v>1</v>
      </c>
      <c r="C35" s="1">
        <v>7</v>
      </c>
      <c r="D35" s="1">
        <v>15</v>
      </c>
      <c r="E35" s="1">
        <v>9</v>
      </c>
      <c r="F35" s="3">
        <f t="shared" si="6"/>
        <v>143.13881527918494</v>
      </c>
      <c r="G35" s="1">
        <v>4.8</v>
      </c>
      <c r="H35" s="1">
        <v>189.2</v>
      </c>
      <c r="I35" s="6">
        <f t="shared" si="7"/>
        <v>194</v>
      </c>
      <c r="J35" s="1">
        <v>101.5</v>
      </c>
      <c r="K35" s="1">
        <v>101.5</v>
      </c>
      <c r="L35" s="6">
        <f t="shared" si="8"/>
        <v>96.7</v>
      </c>
      <c r="M35" s="9">
        <f t="shared" si="9"/>
        <v>0.6755679779198368</v>
      </c>
      <c r="N35" s="1">
        <v>23</v>
      </c>
      <c r="O35" s="1">
        <v>28</v>
      </c>
      <c r="P35" s="1">
        <v>27.96</v>
      </c>
      <c r="Q35" s="1">
        <v>27.58</v>
      </c>
      <c r="R35" s="14">
        <v>7.66</v>
      </c>
      <c r="S35" s="14">
        <f t="shared" si="10"/>
        <v>3.83</v>
      </c>
      <c r="T35" s="11">
        <f t="shared" si="5"/>
        <v>2587.4253554329753</v>
      </c>
    </row>
    <row r="36" spans="1:20" x14ac:dyDescent="0.2">
      <c r="A36" s="1" t="s">
        <v>27</v>
      </c>
      <c r="B36" s="1" t="s">
        <v>1</v>
      </c>
      <c r="C36" s="1">
        <v>8</v>
      </c>
      <c r="D36" s="1">
        <v>15</v>
      </c>
      <c r="E36" s="1">
        <v>10</v>
      </c>
      <c r="F36" s="3">
        <f t="shared" si="6"/>
        <v>159.04312808798326</v>
      </c>
      <c r="G36" s="1">
        <v>4.9000000000000004</v>
      </c>
      <c r="H36" s="1">
        <v>243.4</v>
      </c>
      <c r="I36" s="6">
        <f t="shared" si="7"/>
        <v>248.3</v>
      </c>
      <c r="J36" s="1">
        <v>147.6</v>
      </c>
      <c r="K36" s="1">
        <v>147.6</v>
      </c>
      <c r="L36" s="6">
        <f t="shared" si="8"/>
        <v>142.69999999999999</v>
      </c>
      <c r="M36" s="9">
        <f t="shared" si="9"/>
        <v>0.89724090387016164</v>
      </c>
      <c r="N36" s="1">
        <v>26.8</v>
      </c>
      <c r="O36" s="1">
        <v>31.8</v>
      </c>
      <c r="P36" s="1">
        <v>31.78</v>
      </c>
      <c r="Q36" s="1">
        <v>31.5</v>
      </c>
      <c r="R36" s="14">
        <v>5.62</v>
      </c>
      <c r="S36" s="14">
        <f t="shared" si="10"/>
        <v>2.81</v>
      </c>
      <c r="T36" s="11">
        <f t="shared" si="5"/>
        <v>2521.2469398751541</v>
      </c>
    </row>
    <row r="37" spans="1:20" x14ac:dyDescent="0.2">
      <c r="A37" s="1" t="s">
        <v>27</v>
      </c>
      <c r="B37" s="1" t="s">
        <v>1</v>
      </c>
      <c r="C37" s="1">
        <v>9</v>
      </c>
      <c r="D37" s="1">
        <v>15</v>
      </c>
      <c r="E37" s="1">
        <v>9</v>
      </c>
      <c r="F37" s="3">
        <f t="shared" si="6"/>
        <v>143.13881527918494</v>
      </c>
      <c r="G37" s="1">
        <v>4.9000000000000004</v>
      </c>
      <c r="H37" s="1">
        <v>178.7</v>
      </c>
      <c r="I37" s="6">
        <f t="shared" si="7"/>
        <v>183.6</v>
      </c>
      <c r="J37" s="1">
        <v>87.3</v>
      </c>
      <c r="K37" s="1">
        <v>87.3</v>
      </c>
      <c r="L37" s="6">
        <f t="shared" si="8"/>
        <v>82.399999999999991</v>
      </c>
      <c r="M37" s="9">
        <f t="shared" si="9"/>
        <v>0.57566495740015033</v>
      </c>
      <c r="N37" s="1">
        <v>21.02</v>
      </c>
      <c r="O37" s="1">
        <v>26.02</v>
      </c>
      <c r="P37" s="1">
        <v>25.97</v>
      </c>
      <c r="Q37" s="1">
        <v>25.55</v>
      </c>
      <c r="R37" s="14">
        <v>8.48</v>
      </c>
      <c r="S37" s="14">
        <f t="shared" si="10"/>
        <v>4.24</v>
      </c>
      <c r="T37" s="11">
        <f t="shared" si="5"/>
        <v>2440.8194193766376</v>
      </c>
    </row>
    <row r="38" spans="1:20" x14ac:dyDescent="0.2">
      <c r="A38" s="1" t="s">
        <v>28</v>
      </c>
      <c r="B38" s="1" t="s">
        <v>0</v>
      </c>
      <c r="C38" s="1">
        <v>1</v>
      </c>
      <c r="D38" s="1">
        <v>15</v>
      </c>
      <c r="E38" s="1">
        <v>11.5</v>
      </c>
      <c r="F38" s="3">
        <f t="shared" si="6"/>
        <v>182.89959730118076</v>
      </c>
      <c r="G38" s="1">
        <v>4.9000000000000004</v>
      </c>
      <c r="H38" s="1">
        <v>306.8</v>
      </c>
      <c r="I38" s="6">
        <f>H38-G38</f>
        <v>301.90000000000003</v>
      </c>
      <c r="J38" s="1">
        <v>196.6</v>
      </c>
      <c r="K38" s="1">
        <v>196.5</v>
      </c>
      <c r="L38" s="6">
        <f t="shared" si="8"/>
        <v>191.6</v>
      </c>
      <c r="M38" s="9">
        <f t="shared" si="9"/>
        <v>1.0475692829683614</v>
      </c>
      <c r="N38" s="1">
        <v>25.96</v>
      </c>
      <c r="O38" s="1">
        <v>30.96</v>
      </c>
      <c r="P38" s="1">
        <v>30.93</v>
      </c>
      <c r="Q38" s="16">
        <v>30.8</v>
      </c>
      <c r="R38" s="14">
        <f>((P38-Q38)/(P38-N38))*100</f>
        <v>2.6156941649899204</v>
      </c>
      <c r="S38" s="14">
        <f t="shared" ref="S38:S73" si="11">R38*0.5</f>
        <v>1.3078470824949602</v>
      </c>
      <c r="T38" s="11">
        <f t="shared" si="5"/>
        <v>1370.0604304415087</v>
      </c>
    </row>
    <row r="39" spans="1:20" x14ac:dyDescent="0.2">
      <c r="A39" s="1" t="s">
        <v>28</v>
      </c>
      <c r="B39" s="1" t="s">
        <v>0</v>
      </c>
      <c r="C39" s="1">
        <v>2</v>
      </c>
      <c r="D39" s="1">
        <v>15</v>
      </c>
      <c r="E39" s="1">
        <v>10</v>
      </c>
      <c r="F39" s="3">
        <f t="shared" si="6"/>
        <v>159.04312808798326</v>
      </c>
      <c r="G39" s="1">
        <v>4.8</v>
      </c>
      <c r="H39" s="1">
        <v>197.9</v>
      </c>
      <c r="I39" s="6">
        <f t="shared" ref="I39:I72" si="12">H39-G39</f>
        <v>193.1</v>
      </c>
      <c r="J39" s="1">
        <v>105.3</v>
      </c>
      <c r="K39" s="1">
        <v>105.3</v>
      </c>
      <c r="L39" s="6">
        <f t="shared" si="8"/>
        <v>100.5</v>
      </c>
      <c r="M39" s="9">
        <f t="shared" si="9"/>
        <v>0.63190407035004381</v>
      </c>
      <c r="N39" s="1">
        <v>25.39</v>
      </c>
      <c r="O39" s="1">
        <v>30.39</v>
      </c>
      <c r="P39" s="1">
        <v>30.35</v>
      </c>
      <c r="Q39" s="16">
        <v>30.22</v>
      </c>
      <c r="R39" s="14">
        <f t="shared" ref="R39:R54" si="13">((P39-Q39)/(P39-N39))*100</f>
        <v>2.6209677419355351</v>
      </c>
      <c r="S39" s="14">
        <f t="shared" si="11"/>
        <v>1.3104838709677675</v>
      </c>
      <c r="T39" s="11">
        <f t="shared" si="5"/>
        <v>828.10009219261372</v>
      </c>
    </row>
    <row r="40" spans="1:20" x14ac:dyDescent="0.2">
      <c r="A40" s="1" t="s">
        <v>28</v>
      </c>
      <c r="B40" s="1" t="s">
        <v>0</v>
      </c>
      <c r="C40" s="1">
        <v>3</v>
      </c>
      <c r="D40" s="1">
        <v>15</v>
      </c>
      <c r="E40" s="1">
        <v>6</v>
      </c>
      <c r="F40" s="3">
        <f t="shared" si="6"/>
        <v>95.425876852789969</v>
      </c>
      <c r="G40" s="1">
        <v>4.9000000000000004</v>
      </c>
      <c r="H40" s="1">
        <v>124.1</v>
      </c>
      <c r="I40" s="6">
        <f t="shared" si="12"/>
        <v>119.19999999999999</v>
      </c>
      <c r="J40" s="1">
        <v>55.2</v>
      </c>
      <c r="K40" s="1">
        <v>55.2</v>
      </c>
      <c r="L40" s="6">
        <f t="shared" si="8"/>
        <v>50.300000000000004</v>
      </c>
      <c r="M40" s="9">
        <f t="shared" si="9"/>
        <v>0.5271106921825407</v>
      </c>
      <c r="N40" s="1">
        <v>23</v>
      </c>
      <c r="O40" s="1">
        <v>28</v>
      </c>
      <c r="P40" s="1">
        <v>27.91</v>
      </c>
      <c r="Q40" s="16">
        <v>27.32</v>
      </c>
      <c r="R40" s="14">
        <f t="shared" si="13"/>
        <v>12.016293279022399</v>
      </c>
      <c r="S40" s="14">
        <f t="shared" si="11"/>
        <v>6.0081466395111995</v>
      </c>
      <c r="T40" s="11">
        <f t="shared" si="5"/>
        <v>3166.9583338869543</v>
      </c>
    </row>
    <row r="41" spans="1:20" x14ac:dyDescent="0.2">
      <c r="A41" s="1" t="s">
        <v>28</v>
      </c>
      <c r="B41" s="1" t="s">
        <v>0</v>
      </c>
      <c r="C41" s="1">
        <v>4</v>
      </c>
      <c r="D41" s="1">
        <v>15</v>
      </c>
      <c r="E41" s="1">
        <v>6</v>
      </c>
      <c r="F41" s="3">
        <f t="shared" si="6"/>
        <v>95.425876852789969</v>
      </c>
      <c r="G41" s="1">
        <v>4.9000000000000004</v>
      </c>
      <c r="H41" s="1">
        <v>129.1</v>
      </c>
      <c r="I41" s="6">
        <f t="shared" si="12"/>
        <v>124.19999999999999</v>
      </c>
      <c r="J41" s="1">
        <v>65.8</v>
      </c>
      <c r="K41" s="1">
        <v>65.8</v>
      </c>
      <c r="L41" s="6">
        <f t="shared" si="8"/>
        <v>60.9</v>
      </c>
      <c r="M41" s="9">
        <f t="shared" si="9"/>
        <v>0.63819167304009383</v>
      </c>
      <c r="N41" s="1">
        <v>24.68</v>
      </c>
      <c r="O41" s="1">
        <v>29.68</v>
      </c>
      <c r="P41" s="1">
        <v>29.61</v>
      </c>
      <c r="Q41" s="16">
        <v>29.18</v>
      </c>
      <c r="R41" s="14">
        <f t="shared" si="13"/>
        <v>8.7221095334685543</v>
      </c>
      <c r="S41" s="14">
        <f t="shared" si="11"/>
        <v>4.3610547667342772</v>
      </c>
      <c r="T41" s="11">
        <f t="shared" si="5"/>
        <v>2783.1888378016247</v>
      </c>
    </row>
    <row r="42" spans="1:20" x14ac:dyDescent="0.2">
      <c r="A42" s="1" t="s">
        <v>28</v>
      </c>
      <c r="B42" s="1" t="s">
        <v>0</v>
      </c>
      <c r="C42" s="1">
        <v>5</v>
      </c>
      <c r="D42" s="1">
        <v>15</v>
      </c>
      <c r="E42" s="1">
        <v>11.5</v>
      </c>
      <c r="F42" s="3">
        <f t="shared" si="6"/>
        <v>182.89959730118076</v>
      </c>
      <c r="G42" s="1">
        <v>4.8</v>
      </c>
      <c r="H42" s="1">
        <v>224.7</v>
      </c>
      <c r="I42" s="6">
        <f t="shared" si="12"/>
        <v>219.89999999999998</v>
      </c>
      <c r="J42" s="1">
        <v>115</v>
      </c>
      <c r="K42" s="1">
        <v>114.8</v>
      </c>
      <c r="L42" s="6">
        <f t="shared" si="8"/>
        <v>110</v>
      </c>
      <c r="M42" s="9">
        <f t="shared" si="9"/>
        <v>0.60142286600480044</v>
      </c>
      <c r="N42" s="1">
        <v>24.7</v>
      </c>
      <c r="O42" s="1">
        <v>29.7</v>
      </c>
      <c r="P42" s="1">
        <v>29.64</v>
      </c>
      <c r="Q42" s="16">
        <v>29.22</v>
      </c>
      <c r="R42" s="14">
        <f t="shared" si="13"/>
        <v>8.5020242914980066</v>
      </c>
      <c r="S42" s="14">
        <f t="shared" si="11"/>
        <v>4.2510121457490033</v>
      </c>
      <c r="T42" s="11">
        <f t="shared" si="5"/>
        <v>2556.6559081175819</v>
      </c>
    </row>
    <row r="43" spans="1:20" x14ac:dyDescent="0.2">
      <c r="A43" s="1" t="s">
        <v>28</v>
      </c>
      <c r="B43" s="1" t="s">
        <v>0</v>
      </c>
      <c r="C43" s="1">
        <v>6</v>
      </c>
      <c r="D43" s="1">
        <v>15</v>
      </c>
      <c r="E43" s="1">
        <v>9</v>
      </c>
      <c r="F43" s="3">
        <f t="shared" si="6"/>
        <v>143.13881527918494</v>
      </c>
      <c r="G43" s="1">
        <v>4.9000000000000004</v>
      </c>
      <c r="H43" s="1">
        <v>207.6</v>
      </c>
      <c r="I43" s="6">
        <f t="shared" si="12"/>
        <v>202.7</v>
      </c>
      <c r="J43" s="1">
        <v>115.2</v>
      </c>
      <c r="K43" s="1">
        <v>115.1</v>
      </c>
      <c r="L43" s="6">
        <f t="shared" si="8"/>
        <v>110.19999999999999</v>
      </c>
      <c r="M43" s="9">
        <f t="shared" si="9"/>
        <v>0.76988201827058944</v>
      </c>
      <c r="N43" s="1">
        <v>28.81</v>
      </c>
      <c r="O43" s="1">
        <v>33.81</v>
      </c>
      <c r="P43" s="1">
        <v>33.76</v>
      </c>
      <c r="Q43" s="16">
        <v>33.4</v>
      </c>
      <c r="R43" s="14">
        <f t="shared" si="13"/>
        <v>7.2727272727272627</v>
      </c>
      <c r="S43" s="14">
        <f t="shared" si="11"/>
        <v>3.6363636363636314</v>
      </c>
      <c r="T43" s="11">
        <f t="shared" si="5"/>
        <v>2799.5709755294124</v>
      </c>
    </row>
    <row r="44" spans="1:20" x14ac:dyDescent="0.2">
      <c r="A44" s="1" t="s">
        <v>28</v>
      </c>
      <c r="B44" s="1" t="s">
        <v>0</v>
      </c>
      <c r="C44" s="1">
        <v>7</v>
      </c>
      <c r="D44" s="1">
        <v>15</v>
      </c>
      <c r="E44" s="1">
        <v>8</v>
      </c>
      <c r="F44" s="3">
        <f t="shared" si="6"/>
        <v>127.23450247038662</v>
      </c>
      <c r="G44" s="1">
        <v>4.9000000000000004</v>
      </c>
      <c r="H44" s="1">
        <v>174.4</v>
      </c>
      <c r="I44" s="6">
        <f t="shared" si="12"/>
        <v>169.5</v>
      </c>
      <c r="J44" s="1">
        <v>102.9</v>
      </c>
      <c r="K44" s="1">
        <v>102.9</v>
      </c>
      <c r="L44" s="6">
        <f t="shared" si="8"/>
        <v>98</v>
      </c>
      <c r="M44" s="9">
        <f t="shared" si="9"/>
        <v>0.77023132953114781</v>
      </c>
      <c r="N44" s="1">
        <v>25.16</v>
      </c>
      <c r="O44" s="1">
        <v>30.16</v>
      </c>
      <c r="P44" s="1">
        <v>30.11</v>
      </c>
      <c r="Q44" s="16">
        <v>29.78</v>
      </c>
      <c r="R44" s="14">
        <f t="shared" si="13"/>
        <v>6.6666666666666332</v>
      </c>
      <c r="S44" s="14">
        <f t="shared" si="11"/>
        <v>3.3333333333333166</v>
      </c>
      <c r="T44" s="11">
        <f t="shared" si="5"/>
        <v>2567.4377651038135</v>
      </c>
    </row>
    <row r="45" spans="1:20" x14ac:dyDescent="0.2">
      <c r="A45" s="1" t="s">
        <v>28</v>
      </c>
      <c r="B45" s="1" t="s">
        <v>0</v>
      </c>
      <c r="C45" s="1">
        <v>8</v>
      </c>
      <c r="D45" s="1">
        <v>15</v>
      </c>
      <c r="E45" s="1">
        <v>9</v>
      </c>
      <c r="F45" s="3">
        <f t="shared" si="6"/>
        <v>143.13881527918494</v>
      </c>
      <c r="G45" s="1">
        <v>4.8</v>
      </c>
      <c r="H45" s="1">
        <v>207.7</v>
      </c>
      <c r="I45" s="6">
        <f t="shared" si="12"/>
        <v>202.89999999999998</v>
      </c>
      <c r="J45" s="1">
        <v>109.7</v>
      </c>
      <c r="K45" s="1">
        <v>109.7</v>
      </c>
      <c r="L45" s="6">
        <f t="shared" si="8"/>
        <v>104.9</v>
      </c>
      <c r="M45" s="9">
        <f t="shared" si="9"/>
        <v>0.73285502465140517</v>
      </c>
      <c r="N45" s="1">
        <v>24.06</v>
      </c>
      <c r="O45" s="1">
        <v>29.06</v>
      </c>
      <c r="P45" s="4">
        <v>29</v>
      </c>
      <c r="Q45" s="16">
        <v>28.76</v>
      </c>
      <c r="R45" s="14">
        <f t="shared" si="13"/>
        <v>4.8582995951416681</v>
      </c>
      <c r="S45" s="14">
        <f t="shared" si="11"/>
        <v>2.429149797570834</v>
      </c>
      <c r="T45" s="11">
        <f t="shared" si="5"/>
        <v>1780.2146347807295</v>
      </c>
    </row>
    <row r="46" spans="1:20" x14ac:dyDescent="0.2">
      <c r="A46" s="1" t="s">
        <v>28</v>
      </c>
      <c r="B46" s="1" t="s">
        <v>0</v>
      </c>
      <c r="C46" s="1">
        <v>9</v>
      </c>
      <c r="D46" s="1">
        <v>15</v>
      </c>
      <c r="E46" s="1">
        <v>7.5</v>
      </c>
      <c r="F46" s="3">
        <f t="shared" si="6"/>
        <v>119.28234606598745</v>
      </c>
      <c r="G46" s="1">
        <v>4.9000000000000004</v>
      </c>
      <c r="H46" s="1">
        <v>147.69999999999999</v>
      </c>
      <c r="I46" s="6">
        <f t="shared" si="12"/>
        <v>142.79999999999998</v>
      </c>
      <c r="J46" s="1">
        <v>64.900000000000006</v>
      </c>
      <c r="K46" s="1">
        <v>64.8</v>
      </c>
      <c r="L46" s="6">
        <f t="shared" si="8"/>
        <v>59.9</v>
      </c>
      <c r="M46" s="9">
        <f t="shared" si="9"/>
        <v>0.50216986817867493</v>
      </c>
      <c r="N46" s="1">
        <v>29.59</v>
      </c>
      <c r="O46" s="1">
        <v>34.590000000000003</v>
      </c>
      <c r="P46" s="1">
        <v>34.520000000000003</v>
      </c>
      <c r="Q46" s="16">
        <v>34.26</v>
      </c>
      <c r="R46" s="14">
        <f t="shared" si="13"/>
        <v>5.2738336713996947</v>
      </c>
      <c r="S46" s="14">
        <f t="shared" si="11"/>
        <v>2.6369168356998474</v>
      </c>
      <c r="T46" s="11">
        <f t="shared" si="5"/>
        <v>1324.1801797815212</v>
      </c>
    </row>
    <row r="47" spans="1:20" x14ac:dyDescent="0.2">
      <c r="A47" s="1" t="s">
        <v>28</v>
      </c>
      <c r="B47" s="1" t="s">
        <v>1</v>
      </c>
      <c r="C47" s="1">
        <v>1</v>
      </c>
      <c r="D47" s="1">
        <v>15</v>
      </c>
      <c r="E47" s="1">
        <v>9.5</v>
      </c>
      <c r="F47" s="3">
        <f t="shared" si="6"/>
        <v>151.09097168358412</v>
      </c>
      <c r="G47" s="1">
        <v>4.8</v>
      </c>
      <c r="H47" s="15">
        <v>235</v>
      </c>
      <c r="I47" s="6">
        <f t="shared" si="12"/>
        <v>230.2</v>
      </c>
      <c r="J47" s="1">
        <v>153.1</v>
      </c>
      <c r="K47" s="1">
        <v>153.1</v>
      </c>
      <c r="L47" s="6">
        <f t="shared" si="8"/>
        <v>148.29999999999998</v>
      </c>
      <c r="M47" s="9">
        <f t="shared" si="9"/>
        <v>0.98152787256257101</v>
      </c>
      <c r="N47" s="1">
        <v>25.25</v>
      </c>
      <c r="O47" s="1">
        <v>30.25</v>
      </c>
      <c r="P47" s="1">
        <v>30.23</v>
      </c>
      <c r="Q47" s="16">
        <v>29.96</v>
      </c>
      <c r="R47" s="14">
        <f t="shared" si="13"/>
        <v>5.4216867469879428</v>
      </c>
      <c r="S47" s="14">
        <f t="shared" si="11"/>
        <v>2.7108433734939714</v>
      </c>
      <c r="T47" s="11">
        <f t="shared" si="5"/>
        <v>2660.7683292358806</v>
      </c>
    </row>
    <row r="48" spans="1:20" x14ac:dyDescent="0.2">
      <c r="A48" s="1" t="s">
        <v>28</v>
      </c>
      <c r="B48" s="1" t="s">
        <v>1</v>
      </c>
      <c r="C48" s="1">
        <v>2</v>
      </c>
      <c r="D48" s="1">
        <v>15</v>
      </c>
      <c r="E48" s="1">
        <v>10</v>
      </c>
      <c r="F48" s="3">
        <f t="shared" si="6"/>
        <v>159.04312808798326</v>
      </c>
      <c r="G48" s="1">
        <v>4.9000000000000004</v>
      </c>
      <c r="H48" s="1">
        <v>216.1</v>
      </c>
      <c r="I48" s="6">
        <f t="shared" si="12"/>
        <v>211.2</v>
      </c>
      <c r="J48" s="1">
        <v>114.8</v>
      </c>
      <c r="K48" s="1">
        <v>114.8</v>
      </c>
      <c r="L48" s="6">
        <f t="shared" si="8"/>
        <v>109.89999999999999</v>
      </c>
      <c r="M48" s="9">
        <f t="shared" si="9"/>
        <v>0.69100753563651551</v>
      </c>
      <c r="N48" s="1">
        <v>28.73</v>
      </c>
      <c r="O48" s="1">
        <v>33.729999999999997</v>
      </c>
      <c r="P48" s="1">
        <v>33.69</v>
      </c>
      <c r="Q48" s="16">
        <v>33.549999999999997</v>
      </c>
      <c r="R48" s="14">
        <f t="shared" si="13"/>
        <v>2.8225806451613034</v>
      </c>
      <c r="S48" s="14">
        <f t="shared" si="11"/>
        <v>1.4112903225806517</v>
      </c>
      <c r="T48" s="11">
        <f t="shared" si="5"/>
        <v>975.21224787411904</v>
      </c>
    </row>
    <row r="49" spans="1:20" x14ac:dyDescent="0.2">
      <c r="A49" s="1" t="s">
        <v>28</v>
      </c>
      <c r="B49" s="1" t="s">
        <v>1</v>
      </c>
      <c r="C49" s="1">
        <v>3</v>
      </c>
      <c r="D49" s="1">
        <v>15</v>
      </c>
      <c r="E49" s="1">
        <v>7</v>
      </c>
      <c r="F49" s="3">
        <f t="shared" si="6"/>
        <v>111.33018966158829</v>
      </c>
      <c r="G49" s="1">
        <v>4.9000000000000004</v>
      </c>
      <c r="H49" s="1">
        <v>161.69999999999999</v>
      </c>
      <c r="I49" s="6">
        <f t="shared" si="12"/>
        <v>156.79999999999998</v>
      </c>
      <c r="J49" s="1">
        <v>94.1</v>
      </c>
      <c r="K49" s="1">
        <v>94.1</v>
      </c>
      <c r="L49" s="6">
        <f t="shared" si="8"/>
        <v>89.199999999999989</v>
      </c>
      <c r="M49" s="9">
        <f t="shared" si="9"/>
        <v>0.80122022850353791</v>
      </c>
      <c r="N49" s="1">
        <v>24.55</v>
      </c>
      <c r="O49" s="1">
        <v>29.55</v>
      </c>
      <c r="P49" s="1">
        <v>29.51</v>
      </c>
      <c r="Q49" s="16">
        <v>29.31</v>
      </c>
      <c r="R49" s="14">
        <f t="shared" si="13"/>
        <v>4.0322580645161858</v>
      </c>
      <c r="S49" s="14">
        <f t="shared" si="11"/>
        <v>2.0161290322580929</v>
      </c>
      <c r="T49" s="11">
        <f t="shared" si="5"/>
        <v>1615.3633639184459</v>
      </c>
    </row>
    <row r="50" spans="1:20" x14ac:dyDescent="0.2">
      <c r="A50" s="1" t="s">
        <v>28</v>
      </c>
      <c r="B50" s="1" t="s">
        <v>1</v>
      </c>
      <c r="C50" s="1">
        <v>4</v>
      </c>
      <c r="D50" s="1">
        <v>15</v>
      </c>
      <c r="E50" s="1">
        <v>5.5</v>
      </c>
      <c r="F50" s="3">
        <f t="shared" si="6"/>
        <v>87.473720448390793</v>
      </c>
      <c r="G50" s="1">
        <v>4.8</v>
      </c>
      <c r="H50" s="1">
        <v>117.6</v>
      </c>
      <c r="I50" s="6">
        <f t="shared" si="12"/>
        <v>112.8</v>
      </c>
      <c r="J50" s="1">
        <v>59.5</v>
      </c>
      <c r="K50" s="1">
        <v>59.5</v>
      </c>
      <c r="L50" s="6">
        <f t="shared" si="8"/>
        <v>54.7</v>
      </c>
      <c r="M50" s="9">
        <f t="shared" si="9"/>
        <v>0.6253306675377186</v>
      </c>
      <c r="N50" s="1">
        <v>26.8</v>
      </c>
      <c r="O50" s="1">
        <v>31.8</v>
      </c>
      <c r="P50" s="1">
        <v>31.74</v>
      </c>
      <c r="Q50" s="16">
        <v>31.37</v>
      </c>
      <c r="R50" s="14">
        <f t="shared" si="13"/>
        <v>7.4898785425100725</v>
      </c>
      <c r="S50" s="14">
        <f t="shared" si="11"/>
        <v>3.7449392712550362</v>
      </c>
      <c r="T50" s="11">
        <f t="shared" si="5"/>
        <v>2341.8253743821292</v>
      </c>
    </row>
    <row r="51" spans="1:20" x14ac:dyDescent="0.2">
      <c r="A51" s="1" t="s">
        <v>28</v>
      </c>
      <c r="B51" s="1" t="s">
        <v>1</v>
      </c>
      <c r="C51" s="1">
        <v>5</v>
      </c>
      <c r="D51" s="1">
        <v>15</v>
      </c>
      <c r="E51" s="1">
        <v>7.5</v>
      </c>
      <c r="F51" s="3">
        <f t="shared" si="6"/>
        <v>119.28234606598745</v>
      </c>
      <c r="G51" s="1">
        <v>4.9000000000000004</v>
      </c>
      <c r="H51" s="1">
        <v>155.4</v>
      </c>
      <c r="I51" s="6">
        <f t="shared" si="12"/>
        <v>150.5</v>
      </c>
      <c r="J51" s="1">
        <v>81.8</v>
      </c>
      <c r="K51" s="1">
        <v>81.8</v>
      </c>
      <c r="L51" s="6">
        <f t="shared" si="8"/>
        <v>76.899999999999991</v>
      </c>
      <c r="M51" s="9">
        <f t="shared" si="9"/>
        <v>0.64468886248647905</v>
      </c>
      <c r="N51" s="1">
        <v>21.02</v>
      </c>
      <c r="O51" s="1">
        <v>26.02</v>
      </c>
      <c r="P51" s="1">
        <v>25.96</v>
      </c>
      <c r="Q51" s="16">
        <v>25.57</v>
      </c>
      <c r="R51" s="14">
        <f t="shared" si="13"/>
        <v>7.8947368421052726</v>
      </c>
      <c r="S51" s="14">
        <f t="shared" si="11"/>
        <v>3.9473684210526363</v>
      </c>
      <c r="T51" s="11">
        <f t="shared" si="5"/>
        <v>2544.8244571834734</v>
      </c>
    </row>
    <row r="52" spans="1:20" x14ac:dyDescent="0.2">
      <c r="A52" s="1" t="s">
        <v>28</v>
      </c>
      <c r="B52" s="1" t="s">
        <v>1</v>
      </c>
      <c r="C52" s="1">
        <v>6</v>
      </c>
      <c r="D52" s="1">
        <v>15</v>
      </c>
      <c r="E52" s="1">
        <v>12</v>
      </c>
      <c r="F52" s="3">
        <f t="shared" si="6"/>
        <v>190.85175370557994</v>
      </c>
      <c r="G52" s="1">
        <v>4.8</v>
      </c>
      <c r="H52" s="1">
        <v>262.60000000000002</v>
      </c>
      <c r="I52" s="6">
        <f t="shared" si="12"/>
        <v>257.8</v>
      </c>
      <c r="J52" s="1">
        <v>133.9</v>
      </c>
      <c r="K52" s="1">
        <v>133.9</v>
      </c>
      <c r="L52" s="6">
        <f t="shared" si="8"/>
        <v>129.1</v>
      </c>
      <c r="M52" s="9">
        <f t="shared" si="9"/>
        <v>0.67644125607123251</v>
      </c>
      <c r="N52" s="1">
        <v>31.89</v>
      </c>
      <c r="O52" s="1">
        <v>36.89</v>
      </c>
      <c r="P52" s="1">
        <v>36.840000000000003</v>
      </c>
      <c r="Q52" s="16">
        <v>36.71</v>
      </c>
      <c r="R52" s="14">
        <f t="shared" si="13"/>
        <v>2.6262626262626765</v>
      </c>
      <c r="S52" s="14">
        <f t="shared" si="11"/>
        <v>1.3131313131313382</v>
      </c>
      <c r="T52" s="11">
        <f t="shared" si="5"/>
        <v>888.25619484102936</v>
      </c>
    </row>
    <row r="53" spans="1:20" x14ac:dyDescent="0.2">
      <c r="A53" s="1" t="s">
        <v>28</v>
      </c>
      <c r="B53" s="1" t="s">
        <v>1</v>
      </c>
      <c r="C53" s="1">
        <v>7</v>
      </c>
      <c r="D53" s="1">
        <v>15</v>
      </c>
      <c r="E53" s="1">
        <v>6.5</v>
      </c>
      <c r="F53" s="3">
        <f t="shared" si="6"/>
        <v>103.37803325718913</v>
      </c>
      <c r="G53" s="1">
        <v>4.9000000000000004</v>
      </c>
      <c r="H53" s="1">
        <v>129.4</v>
      </c>
      <c r="I53" s="6">
        <f t="shared" si="12"/>
        <v>124.5</v>
      </c>
      <c r="J53" s="1">
        <v>63.5</v>
      </c>
      <c r="K53" s="1">
        <v>63.5</v>
      </c>
      <c r="L53" s="6">
        <f t="shared" si="8"/>
        <v>58.6</v>
      </c>
      <c r="M53" s="9">
        <f t="shared" si="9"/>
        <v>0.5668515655952937</v>
      </c>
      <c r="N53" s="1">
        <v>20.420000000000002</v>
      </c>
      <c r="O53" s="1">
        <v>25.42</v>
      </c>
      <c r="P53" s="1">
        <v>25.36</v>
      </c>
      <c r="Q53" s="16">
        <v>24.96</v>
      </c>
      <c r="R53" s="14">
        <f t="shared" si="13"/>
        <v>8.0971659919028092</v>
      </c>
      <c r="S53" s="14">
        <f t="shared" si="11"/>
        <v>4.0485829959514046</v>
      </c>
      <c r="T53" s="11">
        <f t="shared" si="5"/>
        <v>2294.9456096975382</v>
      </c>
    </row>
    <row r="54" spans="1:20" x14ac:dyDescent="0.2">
      <c r="A54" s="1" t="s">
        <v>28</v>
      </c>
      <c r="B54" s="1" t="s">
        <v>1</v>
      </c>
      <c r="C54" s="1">
        <v>8</v>
      </c>
      <c r="D54" s="1">
        <v>15</v>
      </c>
      <c r="E54" s="1">
        <v>10</v>
      </c>
      <c r="F54" s="3">
        <f t="shared" si="6"/>
        <v>159.04312808798326</v>
      </c>
      <c r="G54" s="1">
        <v>4.9000000000000004</v>
      </c>
      <c r="H54" s="1">
        <v>226.9</v>
      </c>
      <c r="I54" s="6">
        <f t="shared" si="12"/>
        <v>222</v>
      </c>
      <c r="J54" s="1">
        <v>117.5</v>
      </c>
      <c r="K54" s="1">
        <v>117.5</v>
      </c>
      <c r="L54" s="6">
        <f t="shared" si="8"/>
        <v>112.6</v>
      </c>
      <c r="M54" s="9">
        <f t="shared" si="9"/>
        <v>0.70798406289965099</v>
      </c>
      <c r="N54" s="1">
        <v>29.87</v>
      </c>
      <c r="O54" s="1">
        <v>34.869999999999997</v>
      </c>
      <c r="P54" s="1">
        <v>34.83</v>
      </c>
      <c r="Q54" s="16">
        <v>34.71</v>
      </c>
      <c r="R54" s="14">
        <f t="shared" si="13"/>
        <v>2.4193548387096269</v>
      </c>
      <c r="S54" s="14">
        <f t="shared" si="11"/>
        <v>1.2096774193548134</v>
      </c>
      <c r="T54" s="11">
        <f t="shared" si="5"/>
        <v>856.43233415278576</v>
      </c>
    </row>
    <row r="55" spans="1:20" x14ac:dyDescent="0.2">
      <c r="A55" s="1" t="s">
        <v>28</v>
      </c>
      <c r="B55" s="1" t="s">
        <v>1</v>
      </c>
      <c r="C55" s="1">
        <v>9</v>
      </c>
      <c r="D55" s="1">
        <v>15</v>
      </c>
      <c r="E55" s="1">
        <v>7</v>
      </c>
      <c r="F55" s="3">
        <f>PI()*(2.25)^2*E55</f>
        <v>111.33018966158829</v>
      </c>
      <c r="G55" s="1">
        <v>4.9000000000000004</v>
      </c>
      <c r="H55" s="1">
        <v>145.9</v>
      </c>
      <c r="I55" s="6">
        <f t="shared" si="12"/>
        <v>141</v>
      </c>
      <c r="J55" s="1">
        <v>72.900000000000006</v>
      </c>
      <c r="K55" s="1">
        <v>72.5</v>
      </c>
      <c r="L55" s="6">
        <f>K55-G55</f>
        <v>67.599999999999994</v>
      </c>
      <c r="M55" s="9">
        <f t="shared" si="9"/>
        <v>0.60720277406770362</v>
      </c>
      <c r="N55" s="1">
        <v>18.27</v>
      </c>
      <c r="O55" s="1">
        <v>23.27</v>
      </c>
      <c r="P55" s="1">
        <v>23.21</v>
      </c>
      <c r="Q55" s="16">
        <v>22.93</v>
      </c>
      <c r="R55" s="14">
        <f>((P55-Q55)/(P55-N55))*100</f>
        <v>5.6680161943320053</v>
      </c>
      <c r="S55" s="14">
        <f t="shared" si="11"/>
        <v>2.8340080971660027</v>
      </c>
      <c r="T55" s="11">
        <f t="shared" si="5"/>
        <v>1720.817578329531</v>
      </c>
    </row>
    <row r="56" spans="1:20" x14ac:dyDescent="0.2">
      <c r="A56" s="1" t="s">
        <v>29</v>
      </c>
      <c r="B56" s="1" t="s">
        <v>0</v>
      </c>
      <c r="C56" s="1">
        <v>1</v>
      </c>
      <c r="D56" s="1">
        <v>15</v>
      </c>
      <c r="E56" s="1">
        <v>3</v>
      </c>
      <c r="F56" s="3">
        <f t="shared" ref="F56:F73" si="14">PI()*(2.25)^2*E56</f>
        <v>47.712938426394985</v>
      </c>
      <c r="G56" s="1">
        <v>4.9000000000000004</v>
      </c>
      <c r="H56" s="1">
        <v>68.2</v>
      </c>
      <c r="I56" s="6">
        <f t="shared" si="12"/>
        <v>63.300000000000004</v>
      </c>
      <c r="J56" s="1">
        <v>50.6</v>
      </c>
      <c r="K56" s="1">
        <v>41.9</v>
      </c>
      <c r="L56" s="6">
        <f t="shared" ref="L56:L73" si="15">K56-G56</f>
        <v>37</v>
      </c>
      <c r="M56" s="9">
        <f t="shared" si="9"/>
        <v>0.77547099843952294</v>
      </c>
      <c r="N56" s="1">
        <v>25.96</v>
      </c>
      <c r="O56" s="1">
        <v>30.96</v>
      </c>
      <c r="P56" s="1">
        <v>30.91</v>
      </c>
      <c r="Q56" s="1">
        <v>30.66</v>
      </c>
      <c r="R56" s="14">
        <f t="shared" ref="R56:R73" si="16">((P56-Q56)/(P56-N56))*100</f>
        <v>5.0505050505050511</v>
      </c>
      <c r="S56" s="14">
        <f t="shared" si="11"/>
        <v>2.5252525252525255</v>
      </c>
      <c r="T56" s="11">
        <f t="shared" si="5"/>
        <v>1958.2600970695028</v>
      </c>
    </row>
    <row r="57" spans="1:20" x14ac:dyDescent="0.2">
      <c r="A57" s="1" t="s">
        <v>29</v>
      </c>
      <c r="B57" s="1" t="s">
        <v>0</v>
      </c>
      <c r="C57" s="1">
        <v>2</v>
      </c>
      <c r="D57" s="1">
        <v>15</v>
      </c>
      <c r="E57" s="1">
        <v>6.5</v>
      </c>
      <c r="F57" s="3">
        <f t="shared" si="14"/>
        <v>103.37803325718913</v>
      </c>
      <c r="G57" s="1">
        <v>4.9000000000000004</v>
      </c>
      <c r="H57" s="1">
        <v>129.30000000000001</v>
      </c>
      <c r="I57" s="6">
        <f t="shared" si="12"/>
        <v>124.4</v>
      </c>
      <c r="J57" s="1">
        <v>86.7</v>
      </c>
      <c r="K57" s="1">
        <v>70.2</v>
      </c>
      <c r="L57" s="6">
        <f t="shared" si="15"/>
        <v>65.3</v>
      </c>
      <c r="M57" s="9">
        <f t="shared" si="9"/>
        <v>0.63166223947734945</v>
      </c>
      <c r="N57" s="1">
        <v>29.59</v>
      </c>
      <c r="O57" s="1">
        <v>34.590000000000003</v>
      </c>
      <c r="P57" s="1">
        <v>34.54</v>
      </c>
      <c r="Q57" s="1">
        <v>34.29</v>
      </c>
      <c r="R57" s="14">
        <f t="shared" si="16"/>
        <v>5.0505050505050511</v>
      </c>
      <c r="S57" s="14">
        <f t="shared" si="11"/>
        <v>2.5252525252525255</v>
      </c>
      <c r="T57" s="11">
        <f t="shared" si="5"/>
        <v>1595.1066653468422</v>
      </c>
    </row>
    <row r="58" spans="1:20" x14ac:dyDescent="0.2">
      <c r="A58" s="1" t="s">
        <v>29</v>
      </c>
      <c r="B58" s="1" t="s">
        <v>0</v>
      </c>
      <c r="C58" s="1">
        <v>3</v>
      </c>
      <c r="D58" s="1">
        <v>15</v>
      </c>
      <c r="E58" s="1">
        <v>7.5</v>
      </c>
      <c r="F58" s="3">
        <f t="shared" si="14"/>
        <v>119.28234606598745</v>
      </c>
      <c r="G58" s="1">
        <v>4.8</v>
      </c>
      <c r="H58" s="1">
        <v>145.4</v>
      </c>
      <c r="I58" s="6">
        <f t="shared" si="12"/>
        <v>140.6</v>
      </c>
      <c r="J58" s="1">
        <v>55.9</v>
      </c>
      <c r="K58" s="1">
        <v>55.9</v>
      </c>
      <c r="L58" s="6">
        <f t="shared" si="15"/>
        <v>51.1</v>
      </c>
      <c r="M58" s="9">
        <f t="shared" si="9"/>
        <v>0.42839532994875273</v>
      </c>
      <c r="N58" s="1">
        <v>24.06</v>
      </c>
      <c r="O58" s="1">
        <v>29.06</v>
      </c>
      <c r="P58" s="1">
        <v>28.98</v>
      </c>
      <c r="Q58" s="1">
        <v>28.52</v>
      </c>
      <c r="R58" s="14">
        <f t="shared" si="16"/>
        <v>9.3495934959349736</v>
      </c>
      <c r="S58" s="14">
        <f t="shared" si="11"/>
        <v>4.6747967479674868</v>
      </c>
      <c r="T58" s="11">
        <f t="shared" si="5"/>
        <v>2002.661095288888</v>
      </c>
    </row>
    <row r="59" spans="1:20" x14ac:dyDescent="0.2">
      <c r="A59" s="1" t="s">
        <v>29</v>
      </c>
      <c r="B59" s="1" t="s">
        <v>0</v>
      </c>
      <c r="C59" s="1">
        <v>4</v>
      </c>
      <c r="D59" s="1">
        <v>15</v>
      </c>
      <c r="E59" s="1">
        <v>5</v>
      </c>
      <c r="F59" s="3">
        <f t="shared" si="14"/>
        <v>79.521564043991631</v>
      </c>
      <c r="G59" s="1">
        <v>4.9000000000000004</v>
      </c>
      <c r="H59" s="1">
        <v>99.1</v>
      </c>
      <c r="I59" s="6">
        <f t="shared" si="12"/>
        <v>94.199999999999989</v>
      </c>
      <c r="J59" s="1">
        <v>42.3</v>
      </c>
      <c r="K59" s="1">
        <v>42.3</v>
      </c>
      <c r="L59" s="6">
        <f t="shared" si="15"/>
        <v>37.4</v>
      </c>
      <c r="M59" s="9">
        <f t="shared" si="9"/>
        <v>0.47031268121575398</v>
      </c>
      <c r="N59" s="1">
        <v>31.9</v>
      </c>
      <c r="O59" s="1">
        <v>36.9</v>
      </c>
      <c r="P59" s="1">
        <v>36.840000000000003</v>
      </c>
      <c r="Q59" s="1">
        <v>36.49</v>
      </c>
      <c r="R59" s="14">
        <f t="shared" si="16"/>
        <v>7.085020242915002</v>
      </c>
      <c r="S59" s="14">
        <f t="shared" si="11"/>
        <v>3.542510121457501</v>
      </c>
      <c r="T59" s="11">
        <f t="shared" si="5"/>
        <v>1666.0874334566233</v>
      </c>
    </row>
    <row r="60" spans="1:20" x14ac:dyDescent="0.2">
      <c r="A60" s="1" t="s">
        <v>29</v>
      </c>
      <c r="B60" s="1" t="s">
        <v>0</v>
      </c>
      <c r="C60" s="1">
        <v>5</v>
      </c>
      <c r="D60" s="1">
        <v>15</v>
      </c>
      <c r="E60" s="1">
        <v>5.5</v>
      </c>
      <c r="F60" s="3">
        <f t="shared" si="14"/>
        <v>87.473720448390793</v>
      </c>
      <c r="G60" s="1">
        <v>4.8</v>
      </c>
      <c r="H60" s="1">
        <v>122.8</v>
      </c>
      <c r="I60" s="6">
        <f t="shared" si="12"/>
        <v>118</v>
      </c>
      <c r="J60" s="1">
        <v>63.1</v>
      </c>
      <c r="K60" s="1">
        <v>63.1</v>
      </c>
      <c r="L60" s="6">
        <f t="shared" si="15"/>
        <v>58.300000000000004</v>
      </c>
      <c r="M60" s="9">
        <f t="shared" si="9"/>
        <v>0.66648588514531992</v>
      </c>
      <c r="N60" s="1">
        <v>29.87</v>
      </c>
      <c r="O60" s="1">
        <v>34.869999999999997</v>
      </c>
      <c r="P60" s="1">
        <v>34.81</v>
      </c>
      <c r="Q60" s="1">
        <v>34.43</v>
      </c>
      <c r="R60" s="14">
        <f>((P60-Q60)/(P60-N60))*100</f>
        <v>7.6923076923077431</v>
      </c>
      <c r="S60" s="14">
        <f t="shared" si="11"/>
        <v>3.8461538461538716</v>
      </c>
      <c r="T60" s="11">
        <f t="shared" si="5"/>
        <v>2563.4072505589393</v>
      </c>
    </row>
    <row r="61" spans="1:20" x14ac:dyDescent="0.2">
      <c r="A61" s="1" t="s">
        <v>29</v>
      </c>
      <c r="B61" s="1" t="s">
        <v>0</v>
      </c>
      <c r="C61" s="1">
        <v>6</v>
      </c>
      <c r="D61" s="1">
        <v>15</v>
      </c>
      <c r="E61" s="1">
        <v>5</v>
      </c>
      <c r="F61" s="3">
        <f t="shared" si="14"/>
        <v>79.521564043991631</v>
      </c>
      <c r="G61" s="1">
        <v>4.9000000000000004</v>
      </c>
      <c r="H61" s="1">
        <v>113.9</v>
      </c>
      <c r="I61" s="6">
        <f t="shared" si="12"/>
        <v>109</v>
      </c>
      <c r="J61" s="1">
        <v>56</v>
      </c>
      <c r="K61" s="1">
        <v>55.9</v>
      </c>
      <c r="L61" s="6">
        <f t="shared" si="15"/>
        <v>51</v>
      </c>
      <c r="M61" s="9">
        <f t="shared" si="9"/>
        <v>0.64133547438511906</v>
      </c>
      <c r="N61" s="1">
        <v>24.7</v>
      </c>
      <c r="O61" s="1">
        <v>29.7</v>
      </c>
      <c r="P61" s="1">
        <v>29.63</v>
      </c>
      <c r="Q61" s="1">
        <v>29.32</v>
      </c>
      <c r="R61" s="14">
        <f t="shared" si="16"/>
        <v>6.28803245436103</v>
      </c>
      <c r="S61" s="14">
        <f t="shared" si="11"/>
        <v>3.144016227180515</v>
      </c>
      <c r="T61" s="11">
        <f t="shared" si="5"/>
        <v>2016.3691385333277</v>
      </c>
    </row>
    <row r="62" spans="1:20" x14ac:dyDescent="0.2">
      <c r="A62" s="1" t="s">
        <v>29</v>
      </c>
      <c r="B62" s="1" t="s">
        <v>0</v>
      </c>
      <c r="C62" s="1">
        <v>7</v>
      </c>
      <c r="D62" s="1">
        <v>15</v>
      </c>
      <c r="E62" s="1">
        <v>8</v>
      </c>
      <c r="F62" s="3">
        <f t="shared" si="14"/>
        <v>127.23450247038662</v>
      </c>
      <c r="G62" s="1">
        <v>4.9000000000000004</v>
      </c>
      <c r="H62" s="1">
        <v>180.2</v>
      </c>
      <c r="I62" s="6">
        <f t="shared" si="12"/>
        <v>175.29999999999998</v>
      </c>
      <c r="J62" s="1">
        <v>137.9</v>
      </c>
      <c r="K62" s="1">
        <v>110.2</v>
      </c>
      <c r="L62" s="6">
        <f t="shared" si="15"/>
        <v>105.3</v>
      </c>
      <c r="M62" s="9">
        <f t="shared" si="9"/>
        <v>0.82760570407785583</v>
      </c>
      <c r="N62" s="1">
        <v>24.55</v>
      </c>
      <c r="O62" s="1">
        <v>29.55</v>
      </c>
      <c r="P62" s="1">
        <v>29.51</v>
      </c>
      <c r="Q62" s="1">
        <v>29.24</v>
      </c>
      <c r="R62" s="14">
        <f t="shared" si="16"/>
        <v>5.4435483870968362</v>
      </c>
      <c r="S62" s="14">
        <f t="shared" si="11"/>
        <v>2.7217741935484181</v>
      </c>
      <c r="T62" s="11">
        <f t="shared" si="5"/>
        <v>2252.5558477925765</v>
      </c>
    </row>
    <row r="63" spans="1:20" x14ac:dyDescent="0.2">
      <c r="A63" s="1" t="s">
        <v>29</v>
      </c>
      <c r="B63" s="1" t="s">
        <v>0</v>
      </c>
      <c r="C63" s="1">
        <v>8</v>
      </c>
      <c r="D63" s="1">
        <v>15</v>
      </c>
      <c r="E63" s="1">
        <v>7</v>
      </c>
      <c r="F63" s="3">
        <f t="shared" si="14"/>
        <v>111.33018966158829</v>
      </c>
      <c r="G63" s="1">
        <v>4.8</v>
      </c>
      <c r="H63" s="1">
        <v>115.5</v>
      </c>
      <c r="I63" s="6">
        <f t="shared" si="12"/>
        <v>110.7</v>
      </c>
      <c r="J63" s="1">
        <v>57.1</v>
      </c>
      <c r="K63" s="1">
        <v>57.2</v>
      </c>
      <c r="L63" s="6">
        <f t="shared" si="15"/>
        <v>52.400000000000006</v>
      </c>
      <c r="M63" s="9">
        <f t="shared" si="9"/>
        <v>0.47067197279804257</v>
      </c>
      <c r="N63" s="1">
        <v>25.16</v>
      </c>
      <c r="O63" s="1">
        <v>30.16</v>
      </c>
      <c r="P63" s="1">
        <v>30.1</v>
      </c>
      <c r="Q63" s="1">
        <v>29.72</v>
      </c>
      <c r="R63" s="14">
        <f t="shared" si="16"/>
        <v>7.6923076923077431</v>
      </c>
      <c r="S63" s="14">
        <f t="shared" si="11"/>
        <v>3.8461538461538716</v>
      </c>
      <c r="T63" s="11">
        <f t="shared" si="5"/>
        <v>1810.2768184540218</v>
      </c>
    </row>
    <row r="64" spans="1:20" x14ac:dyDescent="0.2">
      <c r="A64" s="1" t="s">
        <v>29</v>
      </c>
      <c r="B64" s="1" t="s">
        <v>0</v>
      </c>
      <c r="C64" s="1">
        <v>9</v>
      </c>
      <c r="D64" s="1">
        <v>15</v>
      </c>
      <c r="E64" s="1">
        <v>4</v>
      </c>
      <c r="F64" s="3">
        <f t="shared" si="14"/>
        <v>63.617251235193308</v>
      </c>
      <c r="G64" s="1">
        <v>4.8</v>
      </c>
      <c r="H64" s="1">
        <v>73.7</v>
      </c>
      <c r="I64" s="6">
        <f t="shared" si="12"/>
        <v>68.900000000000006</v>
      </c>
      <c r="J64" s="1">
        <v>29.7</v>
      </c>
      <c r="K64" s="1">
        <v>29.7</v>
      </c>
      <c r="L64" s="6">
        <f t="shared" si="15"/>
        <v>24.9</v>
      </c>
      <c r="M64" s="9">
        <f t="shared" si="9"/>
        <v>0.39140326745562409</v>
      </c>
      <c r="N64" s="1">
        <v>28.73</v>
      </c>
      <c r="O64" s="1">
        <v>33.729999999999997</v>
      </c>
      <c r="P64" s="1">
        <v>33.619999999999997</v>
      </c>
      <c r="Q64" s="1">
        <v>33.020000000000003</v>
      </c>
      <c r="R64" s="14">
        <f t="shared" si="16"/>
        <v>12.26993865030664</v>
      </c>
      <c r="S64" s="14">
        <f t="shared" si="11"/>
        <v>6.1349693251533202</v>
      </c>
      <c r="T64" s="11">
        <f t="shared" si="5"/>
        <v>2401.2470396050344</v>
      </c>
    </row>
    <row r="65" spans="1:20" x14ac:dyDescent="0.2">
      <c r="A65" s="1" t="s">
        <v>29</v>
      </c>
      <c r="B65" s="1" t="s">
        <v>1</v>
      </c>
      <c r="C65" s="1">
        <v>1</v>
      </c>
      <c r="D65" s="1">
        <v>15</v>
      </c>
      <c r="E65" s="1">
        <v>6</v>
      </c>
      <c r="F65" s="3">
        <f t="shared" si="14"/>
        <v>95.425876852789969</v>
      </c>
      <c r="G65" s="1">
        <v>4.9000000000000004</v>
      </c>
      <c r="H65" s="1">
        <v>136.5</v>
      </c>
      <c r="I65" s="6">
        <f t="shared" si="12"/>
        <v>131.6</v>
      </c>
      <c r="J65" s="1">
        <v>85.6</v>
      </c>
      <c r="K65" s="1">
        <v>85.6</v>
      </c>
      <c r="L65" s="6">
        <f t="shared" si="15"/>
        <v>80.699999999999989</v>
      </c>
      <c r="M65" s="9">
        <f t="shared" si="9"/>
        <v>0.84568256181174994</v>
      </c>
      <c r="N65" s="1">
        <v>28.82</v>
      </c>
      <c r="O65" s="1">
        <v>33.82</v>
      </c>
      <c r="P65" s="1">
        <v>33.78</v>
      </c>
      <c r="Q65" s="1">
        <v>33.54</v>
      </c>
      <c r="R65" s="14">
        <f t="shared" si="16"/>
        <v>4.8387096774193941</v>
      </c>
      <c r="S65" s="14">
        <f t="shared" si="11"/>
        <v>2.419354838709697</v>
      </c>
      <c r="T65" s="11">
        <f t="shared" si="5"/>
        <v>2046.0061979316699</v>
      </c>
    </row>
    <row r="66" spans="1:20" x14ac:dyDescent="0.2">
      <c r="A66" s="1" t="s">
        <v>29</v>
      </c>
      <c r="B66" s="1" t="s">
        <v>1</v>
      </c>
      <c r="C66" s="1">
        <v>2</v>
      </c>
      <c r="D66" s="1">
        <v>15</v>
      </c>
      <c r="E66" s="1">
        <v>7</v>
      </c>
      <c r="F66" s="3">
        <f t="shared" si="14"/>
        <v>111.33018966158829</v>
      </c>
      <c r="G66" s="1">
        <v>4.9000000000000004</v>
      </c>
      <c r="H66" s="1">
        <v>150.6</v>
      </c>
      <c r="I66" s="6">
        <f t="shared" si="12"/>
        <v>145.69999999999999</v>
      </c>
      <c r="J66" s="1">
        <v>110.5</v>
      </c>
      <c r="K66" s="1">
        <v>86.2</v>
      </c>
      <c r="L66" s="6">
        <f t="shared" si="15"/>
        <v>81.3</v>
      </c>
      <c r="M66" s="9">
        <f t="shared" si="9"/>
        <v>0.73026014100154302</v>
      </c>
      <c r="N66" s="1">
        <v>18.27</v>
      </c>
      <c r="O66" s="1">
        <v>23.27</v>
      </c>
      <c r="P66" s="1">
        <v>23.24</v>
      </c>
      <c r="Q66" s="1">
        <v>22.96</v>
      </c>
      <c r="R66" s="14">
        <f t="shared" si="16"/>
        <v>5.633802816901361</v>
      </c>
      <c r="S66" s="14">
        <f t="shared" si="11"/>
        <v>2.8169014084506805</v>
      </c>
      <c r="T66" s="11">
        <f t="shared" si="5"/>
        <v>2057.070819722639</v>
      </c>
    </row>
    <row r="67" spans="1:20" x14ac:dyDescent="0.2">
      <c r="A67" s="1" t="s">
        <v>29</v>
      </c>
      <c r="B67" s="1" t="s">
        <v>1</v>
      </c>
      <c r="C67" s="1">
        <v>3</v>
      </c>
      <c r="D67" s="1">
        <v>15</v>
      </c>
      <c r="E67" s="1">
        <v>3.5</v>
      </c>
      <c r="F67" s="3">
        <f t="shared" si="14"/>
        <v>55.665094830794146</v>
      </c>
      <c r="G67" s="1">
        <v>4.8</v>
      </c>
      <c r="H67" s="1">
        <v>81.599999999999994</v>
      </c>
      <c r="I67" s="6">
        <f t="shared" si="12"/>
        <v>76.8</v>
      </c>
      <c r="J67" s="1">
        <v>65.400000000000006</v>
      </c>
      <c r="K67" s="1">
        <v>48.1</v>
      </c>
      <c r="L67" s="6">
        <f t="shared" si="15"/>
        <v>43.300000000000004</v>
      </c>
      <c r="M67" s="9">
        <f t="shared" si="9"/>
        <v>0.77786627565478028</v>
      </c>
      <c r="N67" s="1">
        <v>26.8</v>
      </c>
      <c r="O67" s="1">
        <v>31.8</v>
      </c>
      <c r="P67" s="1">
        <v>31.75</v>
      </c>
      <c r="Q67" s="1">
        <v>31.47</v>
      </c>
      <c r="R67" s="14">
        <f t="shared" si="16"/>
        <v>5.6565656565656806</v>
      </c>
      <c r="S67" s="14">
        <f t="shared" si="11"/>
        <v>2.8282828282828403</v>
      </c>
      <c r="T67" s="11">
        <f t="shared" ref="T67:T73" si="17">(M67*(S67/100))*10*10000</f>
        <v>2200.0258301347412</v>
      </c>
    </row>
    <row r="68" spans="1:20" x14ac:dyDescent="0.2">
      <c r="A68" s="1" t="s">
        <v>29</v>
      </c>
      <c r="B68" s="1" t="s">
        <v>1</v>
      </c>
      <c r="C68" s="1">
        <v>4</v>
      </c>
      <c r="D68" s="1">
        <v>15</v>
      </c>
      <c r="E68" s="1">
        <v>3.5</v>
      </c>
      <c r="F68" s="3">
        <f t="shared" si="14"/>
        <v>55.665094830794146</v>
      </c>
      <c r="G68" s="1">
        <v>4.8</v>
      </c>
      <c r="H68" s="1">
        <v>63.7</v>
      </c>
      <c r="I68" s="6">
        <f t="shared" si="12"/>
        <v>58.900000000000006</v>
      </c>
      <c r="J68" s="1">
        <v>31.4</v>
      </c>
      <c r="K68" s="1">
        <v>31.4</v>
      </c>
      <c r="L68" s="6">
        <f t="shared" si="15"/>
        <v>26.599999999999998</v>
      </c>
      <c r="M68" s="9">
        <f t="shared" si="9"/>
        <v>0.47785780444381415</v>
      </c>
      <c r="N68" s="1">
        <v>21.02</v>
      </c>
      <c r="O68" s="1">
        <v>26.02</v>
      </c>
      <c r="P68" s="1">
        <v>25.95</v>
      </c>
      <c r="Q68" s="1">
        <v>25.59</v>
      </c>
      <c r="R68" s="14">
        <f t="shared" si="16"/>
        <v>7.3022312373225038</v>
      </c>
      <c r="S68" s="14">
        <f t="shared" si="11"/>
        <v>3.6511156186612519</v>
      </c>
      <c r="T68" s="11">
        <f t="shared" si="17"/>
        <v>1744.7140933039839</v>
      </c>
    </row>
    <row r="69" spans="1:20" x14ac:dyDescent="0.2">
      <c r="A69" s="1" t="s">
        <v>29</v>
      </c>
      <c r="B69" s="1" t="s">
        <v>1</v>
      </c>
      <c r="C69" s="1">
        <v>5</v>
      </c>
      <c r="D69" s="1">
        <v>15</v>
      </c>
      <c r="E69" s="1">
        <v>8</v>
      </c>
      <c r="F69" s="3">
        <f t="shared" si="14"/>
        <v>127.23450247038662</v>
      </c>
      <c r="G69" s="1">
        <v>4.9000000000000004</v>
      </c>
      <c r="H69" s="1">
        <v>93.6</v>
      </c>
      <c r="I69" s="6">
        <f t="shared" si="12"/>
        <v>88.699999999999989</v>
      </c>
      <c r="J69" s="1">
        <v>39.1</v>
      </c>
      <c r="K69" s="1">
        <v>39.1</v>
      </c>
      <c r="L69" s="6">
        <f t="shared" si="15"/>
        <v>34.200000000000003</v>
      </c>
      <c r="M69" s="9">
        <f t="shared" si="9"/>
        <v>0.26879501499964548</v>
      </c>
      <c r="N69" s="1">
        <v>25.39</v>
      </c>
      <c r="O69" s="1">
        <v>30.39</v>
      </c>
      <c r="P69" s="1">
        <v>30.3</v>
      </c>
      <c r="Q69" s="1">
        <v>29.79</v>
      </c>
      <c r="R69" s="14">
        <f t="shared" si="16"/>
        <v>10.38696537678211</v>
      </c>
      <c r="S69" s="14">
        <f t="shared" si="11"/>
        <v>5.1934826883910548</v>
      </c>
      <c r="T69" s="11">
        <f t="shared" si="17"/>
        <v>1395.9822571264726</v>
      </c>
    </row>
    <row r="70" spans="1:20" x14ac:dyDescent="0.2">
      <c r="A70" s="1" t="s">
        <v>29</v>
      </c>
      <c r="B70" s="1" t="s">
        <v>1</v>
      </c>
      <c r="C70" s="1">
        <v>6</v>
      </c>
      <c r="D70" s="1">
        <v>15</v>
      </c>
      <c r="E70" s="1">
        <v>4</v>
      </c>
      <c r="F70" s="3">
        <f t="shared" si="14"/>
        <v>63.617251235193308</v>
      </c>
      <c r="G70" s="1">
        <v>4.8</v>
      </c>
      <c r="H70" s="1">
        <v>81.5</v>
      </c>
      <c r="I70" s="6">
        <f t="shared" si="12"/>
        <v>76.7</v>
      </c>
      <c r="J70" s="1">
        <v>37.5</v>
      </c>
      <c r="K70" s="1">
        <v>37.5</v>
      </c>
      <c r="L70" s="6">
        <f t="shared" si="15"/>
        <v>32.700000000000003</v>
      </c>
      <c r="M70" s="9">
        <f t="shared" si="9"/>
        <v>0.51401151991160277</v>
      </c>
      <c r="N70" s="1">
        <v>24.68</v>
      </c>
      <c r="O70" s="1">
        <v>29.68</v>
      </c>
      <c r="P70" s="1">
        <v>29.61</v>
      </c>
      <c r="Q70" s="1">
        <v>29.24</v>
      </c>
      <c r="R70" s="14">
        <f t="shared" si="16"/>
        <v>7.5050709939148277</v>
      </c>
      <c r="S70" s="14">
        <f t="shared" si="11"/>
        <v>3.7525354969574138</v>
      </c>
      <c r="T70" s="11">
        <f t="shared" si="17"/>
        <v>1928.8464743133222</v>
      </c>
    </row>
    <row r="71" spans="1:20" x14ac:dyDescent="0.2">
      <c r="A71" s="1" t="s">
        <v>29</v>
      </c>
      <c r="B71" s="1" t="s">
        <v>1</v>
      </c>
      <c r="C71" s="1">
        <v>7</v>
      </c>
      <c r="D71" s="1">
        <v>15</v>
      </c>
      <c r="E71" s="1">
        <v>4</v>
      </c>
      <c r="F71" s="3">
        <f t="shared" si="14"/>
        <v>63.617251235193308</v>
      </c>
      <c r="G71" s="1">
        <v>4.8</v>
      </c>
      <c r="H71" s="1">
        <v>84.5</v>
      </c>
      <c r="I71" s="6">
        <f t="shared" si="12"/>
        <v>79.7</v>
      </c>
      <c r="J71" s="1">
        <v>37.799999999999997</v>
      </c>
      <c r="K71" s="1">
        <v>37.9</v>
      </c>
      <c r="L71" s="6">
        <f t="shared" si="15"/>
        <v>33.1</v>
      </c>
      <c r="M71" s="9">
        <f t="shared" si="9"/>
        <v>0.52029912260165301</v>
      </c>
      <c r="N71" s="1">
        <v>23</v>
      </c>
      <c r="O71" s="1">
        <v>28</v>
      </c>
      <c r="P71" s="1">
        <v>27.92</v>
      </c>
      <c r="Q71" s="1">
        <v>27.51</v>
      </c>
      <c r="R71" s="14">
        <f t="shared" si="16"/>
        <v>8.3333333333333321</v>
      </c>
      <c r="S71" s="14">
        <f t="shared" si="11"/>
        <v>4.1666666666666661</v>
      </c>
      <c r="T71" s="11">
        <f t="shared" si="17"/>
        <v>2167.9130108402205</v>
      </c>
    </row>
    <row r="72" spans="1:20" x14ac:dyDescent="0.2">
      <c r="A72" s="1" t="s">
        <v>29</v>
      </c>
      <c r="B72" s="1" t="s">
        <v>1</v>
      </c>
      <c r="C72" s="1">
        <v>8</v>
      </c>
      <c r="D72" s="1">
        <v>15</v>
      </c>
      <c r="E72" s="1">
        <v>4</v>
      </c>
      <c r="F72" s="3">
        <f t="shared" si="14"/>
        <v>63.617251235193308</v>
      </c>
      <c r="G72" s="1">
        <v>4.9000000000000004</v>
      </c>
      <c r="H72" s="1">
        <v>114.3</v>
      </c>
      <c r="I72" s="6">
        <f t="shared" si="12"/>
        <v>109.39999999999999</v>
      </c>
      <c r="J72" s="1">
        <v>66.7</v>
      </c>
      <c r="K72" s="1">
        <v>66.7</v>
      </c>
      <c r="L72" s="6">
        <f t="shared" si="15"/>
        <v>61.800000000000004</v>
      </c>
      <c r="M72" s="9">
        <f t="shared" si="9"/>
        <v>0.9714346156127539</v>
      </c>
      <c r="N72" s="1">
        <v>25.25</v>
      </c>
      <c r="O72" s="1">
        <v>30.25</v>
      </c>
      <c r="P72" s="1">
        <v>30.21</v>
      </c>
      <c r="Q72" s="1">
        <v>29.93</v>
      </c>
      <c r="R72" s="14">
        <f t="shared" si="16"/>
        <v>5.6451612903226023</v>
      </c>
      <c r="S72" s="14">
        <f t="shared" si="11"/>
        <v>2.8225806451613011</v>
      </c>
      <c r="T72" s="11">
        <f t="shared" si="17"/>
        <v>2741.9525440682673</v>
      </c>
    </row>
    <row r="73" spans="1:20" x14ac:dyDescent="0.2">
      <c r="A73" s="1" t="s">
        <v>29</v>
      </c>
      <c r="B73" s="1" t="s">
        <v>1</v>
      </c>
      <c r="C73" s="1">
        <v>9</v>
      </c>
      <c r="D73" s="1">
        <v>15</v>
      </c>
      <c r="E73" s="1">
        <v>8</v>
      </c>
      <c r="F73" s="3">
        <f t="shared" si="14"/>
        <v>127.23450247038662</v>
      </c>
      <c r="G73" s="1">
        <v>4.9000000000000004</v>
      </c>
      <c r="H73" s="1">
        <v>158.9</v>
      </c>
      <c r="I73" s="6">
        <f>H73-G73</f>
        <v>154</v>
      </c>
      <c r="J73" s="1">
        <v>81.400000000000006</v>
      </c>
      <c r="K73" s="1">
        <v>81.400000000000006</v>
      </c>
      <c r="L73" s="6">
        <f t="shared" si="15"/>
        <v>76.5</v>
      </c>
      <c r="M73" s="9">
        <f t="shared" si="9"/>
        <v>0.6012520072360491</v>
      </c>
      <c r="N73" s="1">
        <v>20.420000000000002</v>
      </c>
      <c r="O73" s="1">
        <v>25.42</v>
      </c>
      <c r="P73" s="1">
        <v>25.36</v>
      </c>
      <c r="Q73" s="1">
        <v>24.97</v>
      </c>
      <c r="R73" s="14">
        <f t="shared" si="16"/>
        <v>7.8947368421052779</v>
      </c>
      <c r="S73" s="14">
        <f t="shared" si="11"/>
        <v>3.947368421052639</v>
      </c>
      <c r="T73" s="11">
        <f t="shared" si="17"/>
        <v>2373.363186458093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E9C-77BC-944C-AC6D-AF4F581C6C7D}">
  <dimension ref="A1:O37"/>
  <sheetViews>
    <sheetView zoomScale="90" workbookViewId="0">
      <pane ySplit="1" topLeftCell="A2" activePane="bottomLeft" state="frozen"/>
      <selection activeCell="C1" sqref="C1"/>
      <selection pane="bottomLeft" activeCell="C14" sqref="C14"/>
    </sheetView>
  </sheetViews>
  <sheetFormatPr baseColWidth="10" defaultColWidth="17.6640625" defaultRowHeight="16" x14ac:dyDescent="0.2"/>
  <cols>
    <col min="1" max="8" width="17.6640625" style="1"/>
    <col min="9" max="9" width="17.6640625" style="6"/>
    <col min="10" max="11" width="21.6640625" style="1" customWidth="1"/>
    <col min="12" max="12" width="21.6640625" style="6" customWidth="1"/>
    <col min="13" max="13" width="27" style="1" customWidth="1"/>
    <col min="14" max="14" width="23.83203125" style="1" customWidth="1"/>
    <col min="15" max="15" width="17.6640625" style="11"/>
    <col min="16" max="16384" width="17.6640625" style="1"/>
  </cols>
  <sheetData>
    <row r="1" spans="1:15" s="2" customFormat="1" x14ac:dyDescent="0.2">
      <c r="A1" s="2" t="s">
        <v>30</v>
      </c>
      <c r="B1" s="2" t="s">
        <v>31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  <c r="I1" s="7" t="s">
        <v>11</v>
      </c>
      <c r="J1" s="2" t="s">
        <v>8</v>
      </c>
      <c r="K1" s="2" t="s">
        <v>9</v>
      </c>
      <c r="L1" s="7" t="s">
        <v>10</v>
      </c>
      <c r="M1" s="2" t="s">
        <v>12</v>
      </c>
      <c r="N1" s="2" t="s">
        <v>22</v>
      </c>
      <c r="O1" s="12" t="s">
        <v>24</v>
      </c>
    </row>
    <row r="2" spans="1:15" x14ac:dyDescent="0.2">
      <c r="A2" s="1" t="s">
        <v>26</v>
      </c>
      <c r="B2" s="1" t="s">
        <v>20</v>
      </c>
      <c r="C2" s="1">
        <v>1</v>
      </c>
      <c r="D2" s="1">
        <v>15</v>
      </c>
      <c r="E2" s="1">
        <v>12.5</v>
      </c>
      <c r="F2" s="4">
        <f>PI()*(2.25)^2*E2</f>
        <v>198.80391010997909</v>
      </c>
      <c r="G2" s="5">
        <v>4.8</v>
      </c>
      <c r="H2" s="1">
        <v>263</v>
      </c>
      <c r="I2" s="8">
        <f>H2-G2</f>
        <v>258.2</v>
      </c>
      <c r="J2" s="1">
        <v>219.4</v>
      </c>
      <c r="K2" s="1">
        <v>161.19999999999999</v>
      </c>
      <c r="L2" s="8">
        <f>K2-G2</f>
        <v>156.39999999999998</v>
      </c>
      <c r="M2" s="1">
        <f>L2/F2</f>
        <v>0.7867048485790793</v>
      </c>
      <c r="N2" s="1">
        <v>0.17799999999999999</v>
      </c>
      <c r="O2" s="11">
        <f>((M2*N2)/100)*10*10000</f>
        <v>140.03346304707611</v>
      </c>
    </row>
    <row r="3" spans="1:15" x14ac:dyDescent="0.2">
      <c r="A3" s="1" t="s">
        <v>26</v>
      </c>
      <c r="B3" s="1" t="s">
        <v>20</v>
      </c>
      <c r="C3" s="1">
        <v>2</v>
      </c>
      <c r="D3" s="1">
        <v>15</v>
      </c>
      <c r="E3" s="1">
        <v>10</v>
      </c>
      <c r="F3" s="4">
        <f t="shared" ref="F3:F18" si="0">PI()*(2.25)^2*E3</f>
        <v>159.04312808798326</v>
      </c>
      <c r="G3" s="5">
        <v>4.8</v>
      </c>
      <c r="H3" s="1">
        <v>211.3</v>
      </c>
      <c r="I3" s="8">
        <f t="shared" ref="I3:I36" si="1">H3-G3</f>
        <v>206.5</v>
      </c>
      <c r="J3" s="1">
        <v>124.7</v>
      </c>
      <c r="K3" s="1">
        <v>124.6</v>
      </c>
      <c r="L3" s="8">
        <f t="shared" ref="L3:L18" si="2">K3-G3</f>
        <v>119.8</v>
      </c>
      <c r="M3" s="1">
        <f t="shared" ref="M3:M37" si="3">L3/F3</f>
        <v>0.75325480226801234</v>
      </c>
      <c r="N3" s="1">
        <v>0.14799999999999999</v>
      </c>
      <c r="O3" s="11">
        <f t="shared" ref="O3:O37" si="4">((M3*N3)/100)*10*10000</f>
        <v>111.48171073566581</v>
      </c>
    </row>
    <row r="4" spans="1:15" x14ac:dyDescent="0.2">
      <c r="A4" s="1" t="s">
        <v>26</v>
      </c>
      <c r="B4" s="1" t="s">
        <v>20</v>
      </c>
      <c r="C4" s="1">
        <v>3</v>
      </c>
      <c r="D4" s="1">
        <v>15</v>
      </c>
      <c r="E4" s="1">
        <v>11</v>
      </c>
      <c r="F4" s="4">
        <f t="shared" si="0"/>
        <v>174.94744089678159</v>
      </c>
      <c r="G4" s="5">
        <v>4.8</v>
      </c>
      <c r="H4" s="1">
        <v>178.9</v>
      </c>
      <c r="I4" s="8">
        <f t="shared" si="1"/>
        <v>174.1</v>
      </c>
      <c r="J4" s="1">
        <v>80.3</v>
      </c>
      <c r="K4" s="1">
        <v>71.5</v>
      </c>
      <c r="L4" s="8">
        <f t="shared" si="2"/>
        <v>66.7</v>
      </c>
      <c r="M4" s="1">
        <f t="shared" si="3"/>
        <v>0.38125736311486136</v>
      </c>
      <c r="N4" s="1">
        <v>0.41399999999999998</v>
      </c>
      <c r="O4" s="11">
        <f t="shared" si="4"/>
        <v>157.8405483295526</v>
      </c>
    </row>
    <row r="5" spans="1:15" x14ac:dyDescent="0.2">
      <c r="A5" s="1" t="s">
        <v>26</v>
      </c>
      <c r="B5" s="1" t="s">
        <v>20</v>
      </c>
      <c r="C5" s="1">
        <v>4</v>
      </c>
      <c r="D5" s="1">
        <v>15</v>
      </c>
      <c r="E5" s="1">
        <v>9</v>
      </c>
      <c r="F5" s="4">
        <f t="shared" si="0"/>
        <v>143.13881527918494</v>
      </c>
      <c r="G5" s="5">
        <v>4.8</v>
      </c>
      <c r="H5" s="1">
        <v>190.6</v>
      </c>
      <c r="I5" s="8">
        <f t="shared" si="1"/>
        <v>185.79999999999998</v>
      </c>
      <c r="J5" s="1">
        <v>98.6</v>
      </c>
      <c r="K5" s="1">
        <v>97.7</v>
      </c>
      <c r="L5" s="8">
        <f t="shared" si="2"/>
        <v>92.9</v>
      </c>
      <c r="M5" s="1">
        <f t="shared" si="3"/>
        <v>0.64902032211740268</v>
      </c>
      <c r="N5" s="1">
        <v>0.27600000000000002</v>
      </c>
      <c r="O5" s="11">
        <f t="shared" si="4"/>
        <v>179.12960890440317</v>
      </c>
    </row>
    <row r="6" spans="1:15" x14ac:dyDescent="0.2">
      <c r="A6" s="1" t="s">
        <v>26</v>
      </c>
      <c r="B6" s="1" t="s">
        <v>20</v>
      </c>
      <c r="C6" s="1">
        <v>5</v>
      </c>
      <c r="D6" s="1">
        <v>15</v>
      </c>
      <c r="E6" s="1">
        <v>11</v>
      </c>
      <c r="F6" s="4">
        <f t="shared" si="0"/>
        <v>174.94744089678159</v>
      </c>
      <c r="G6" s="5">
        <v>4.8</v>
      </c>
      <c r="H6" s="1">
        <v>212.9</v>
      </c>
      <c r="I6" s="8">
        <f t="shared" si="1"/>
        <v>208.1</v>
      </c>
      <c r="J6" s="1">
        <v>103.8</v>
      </c>
      <c r="K6" s="1">
        <v>103.2</v>
      </c>
      <c r="L6" s="8">
        <f t="shared" si="2"/>
        <v>98.4</v>
      </c>
      <c r="M6" s="1">
        <f t="shared" si="3"/>
        <v>0.56245464063721673</v>
      </c>
      <c r="N6" s="1">
        <v>0.32300000000000001</v>
      </c>
      <c r="O6" s="11">
        <f t="shared" si="4"/>
        <v>181.672848925821</v>
      </c>
    </row>
    <row r="7" spans="1:15" x14ac:dyDescent="0.2">
      <c r="A7" s="1" t="s">
        <v>26</v>
      </c>
      <c r="B7" s="1" t="s">
        <v>20</v>
      </c>
      <c r="C7" s="1">
        <v>6</v>
      </c>
      <c r="D7" s="1">
        <v>15</v>
      </c>
      <c r="E7" s="1">
        <v>11</v>
      </c>
      <c r="F7" s="4">
        <f t="shared" si="0"/>
        <v>174.94744089678159</v>
      </c>
      <c r="G7" s="5">
        <v>4.8</v>
      </c>
      <c r="H7" s="1">
        <v>217.1</v>
      </c>
      <c r="I7" s="8">
        <f t="shared" si="1"/>
        <v>212.29999999999998</v>
      </c>
      <c r="J7" s="1">
        <v>179.6</v>
      </c>
      <c r="K7" s="1">
        <v>125.3</v>
      </c>
      <c r="L7" s="8">
        <f t="shared" si="2"/>
        <v>120.5</v>
      </c>
      <c r="M7" s="1">
        <f t="shared" si="3"/>
        <v>0.68877829468277052</v>
      </c>
      <c r="N7" s="1">
        <v>0.30599999999999999</v>
      </c>
      <c r="O7" s="11">
        <f t="shared" si="4"/>
        <v>210.76615817292779</v>
      </c>
    </row>
    <row r="8" spans="1:15" x14ac:dyDescent="0.2">
      <c r="A8" s="1" t="s">
        <v>26</v>
      </c>
      <c r="B8" s="1" t="s">
        <v>20</v>
      </c>
      <c r="C8" s="1">
        <v>7</v>
      </c>
      <c r="D8" s="1">
        <v>15</v>
      </c>
      <c r="E8" s="1">
        <v>6.5</v>
      </c>
      <c r="F8" s="4">
        <f t="shared" si="0"/>
        <v>103.37803325718913</v>
      </c>
      <c r="G8" s="5">
        <v>4.8</v>
      </c>
      <c r="H8" s="1">
        <v>115.2</v>
      </c>
      <c r="I8" s="8">
        <f t="shared" si="1"/>
        <v>110.4</v>
      </c>
      <c r="J8" s="1">
        <v>59</v>
      </c>
      <c r="K8" s="1">
        <v>58.9</v>
      </c>
      <c r="L8" s="8">
        <f t="shared" si="2"/>
        <v>54.1</v>
      </c>
      <c r="M8" s="1">
        <f t="shared" si="3"/>
        <v>0.52332200851033095</v>
      </c>
      <c r="N8" s="1">
        <v>0.311</v>
      </c>
      <c r="O8" s="11">
        <f t="shared" si="4"/>
        <v>162.75314464671294</v>
      </c>
    </row>
    <row r="9" spans="1:15" x14ac:dyDescent="0.2">
      <c r="A9" s="1" t="s">
        <v>26</v>
      </c>
      <c r="B9" s="1" t="s">
        <v>20</v>
      </c>
      <c r="C9" s="1">
        <v>8</v>
      </c>
      <c r="D9" s="1">
        <v>15</v>
      </c>
      <c r="E9" s="1">
        <v>8</v>
      </c>
      <c r="F9" s="4">
        <f t="shared" si="0"/>
        <v>127.23450247038662</v>
      </c>
      <c r="G9" s="5">
        <v>4.8</v>
      </c>
      <c r="H9" s="1">
        <v>150.4</v>
      </c>
      <c r="I9" s="8">
        <f t="shared" si="1"/>
        <v>145.6</v>
      </c>
      <c r="J9" s="1">
        <v>72.7</v>
      </c>
      <c r="K9" s="1">
        <v>72.599999999999994</v>
      </c>
      <c r="L9" s="8">
        <f t="shared" si="2"/>
        <v>67.8</v>
      </c>
      <c r="M9" s="1">
        <f t="shared" si="3"/>
        <v>0.53287432798175327</v>
      </c>
      <c r="N9" s="1">
        <v>0.311</v>
      </c>
      <c r="O9" s="11">
        <f t="shared" si="4"/>
        <v>165.72391600232527</v>
      </c>
    </row>
    <row r="10" spans="1:15" x14ac:dyDescent="0.2">
      <c r="A10" s="1" t="s">
        <v>26</v>
      </c>
      <c r="B10" s="1" t="s">
        <v>20</v>
      </c>
      <c r="C10" s="1">
        <v>9</v>
      </c>
      <c r="D10" s="1">
        <v>15</v>
      </c>
      <c r="E10" s="1">
        <v>8.5</v>
      </c>
      <c r="F10" s="4">
        <f t="shared" si="0"/>
        <v>135.18665887478579</v>
      </c>
      <c r="G10" s="5">
        <v>4.8</v>
      </c>
      <c r="H10" s="1">
        <v>165.8</v>
      </c>
      <c r="I10" s="8">
        <f t="shared" si="1"/>
        <v>161</v>
      </c>
      <c r="J10" s="1">
        <v>82.8</v>
      </c>
      <c r="K10" s="1">
        <v>82.8</v>
      </c>
      <c r="L10" s="8">
        <f t="shared" si="2"/>
        <v>78</v>
      </c>
      <c r="M10" s="1">
        <f t="shared" si="3"/>
        <v>0.57698001155754652</v>
      </c>
      <c r="N10" s="1">
        <v>0.316</v>
      </c>
      <c r="O10" s="11">
        <f t="shared" si="4"/>
        <v>182.32568365218472</v>
      </c>
    </row>
    <row r="11" spans="1:15" x14ac:dyDescent="0.2">
      <c r="A11" s="1" t="s">
        <v>26</v>
      </c>
      <c r="B11" s="1" t="s">
        <v>21</v>
      </c>
      <c r="C11" s="1">
        <v>1</v>
      </c>
      <c r="D11" s="1">
        <v>15</v>
      </c>
      <c r="E11" s="1">
        <v>9</v>
      </c>
      <c r="F11" s="4">
        <f t="shared" si="0"/>
        <v>143.13881527918494</v>
      </c>
      <c r="G11" s="5">
        <v>4.9000000000000004</v>
      </c>
      <c r="H11" s="1">
        <v>238.3</v>
      </c>
      <c r="I11" s="8">
        <f t="shared" si="1"/>
        <v>233.4</v>
      </c>
      <c r="J11" s="1">
        <v>158.19999999999999</v>
      </c>
      <c r="K11" s="1">
        <v>157.9</v>
      </c>
      <c r="L11" s="8">
        <f t="shared" si="2"/>
        <v>153</v>
      </c>
      <c r="M11" s="1">
        <f>L11/F11</f>
        <v>1.0688924573085317</v>
      </c>
      <c r="N11" s="1">
        <v>8.5199999999999998E-2</v>
      </c>
      <c r="O11" s="11">
        <f t="shared" si="4"/>
        <v>91.06963736268689</v>
      </c>
    </row>
    <row r="12" spans="1:15" x14ac:dyDescent="0.2">
      <c r="A12" s="1" t="s">
        <v>26</v>
      </c>
      <c r="B12" s="1" t="s">
        <v>21</v>
      </c>
      <c r="C12" s="1">
        <v>2</v>
      </c>
      <c r="D12" s="1">
        <v>15</v>
      </c>
      <c r="E12" s="1">
        <v>9</v>
      </c>
      <c r="F12" s="4">
        <f t="shared" si="0"/>
        <v>143.13881527918494</v>
      </c>
      <c r="G12" s="5">
        <v>4.8</v>
      </c>
      <c r="H12" s="1">
        <v>187.3</v>
      </c>
      <c r="I12" s="8">
        <f t="shared" si="1"/>
        <v>182.5</v>
      </c>
      <c r="J12" s="1">
        <v>108.4</v>
      </c>
      <c r="K12" s="1">
        <v>108.3</v>
      </c>
      <c r="L12" s="8">
        <f t="shared" si="2"/>
        <v>103.5</v>
      </c>
      <c r="M12" s="1">
        <f t="shared" si="3"/>
        <v>0.72307430935577144</v>
      </c>
      <c r="N12" s="1">
        <v>0.14899999999999999</v>
      </c>
      <c r="O12" s="11">
        <f t="shared" si="4"/>
        <v>107.73807209400995</v>
      </c>
    </row>
    <row r="13" spans="1:15" x14ac:dyDescent="0.2">
      <c r="A13" s="1" t="s">
        <v>26</v>
      </c>
      <c r="B13" s="1" t="s">
        <v>21</v>
      </c>
      <c r="C13" s="1">
        <v>3</v>
      </c>
      <c r="D13" s="1">
        <v>15</v>
      </c>
      <c r="E13" s="1">
        <v>7</v>
      </c>
      <c r="F13" s="4">
        <f t="shared" si="0"/>
        <v>111.33018966158829</v>
      </c>
      <c r="G13" s="5">
        <v>4.7</v>
      </c>
      <c r="H13" s="1">
        <v>135.69999999999999</v>
      </c>
      <c r="I13" s="8">
        <f t="shared" si="1"/>
        <v>131</v>
      </c>
      <c r="J13" s="1">
        <v>87.8</v>
      </c>
      <c r="K13" s="1">
        <v>70.3</v>
      </c>
      <c r="L13" s="8">
        <f t="shared" si="2"/>
        <v>65.599999999999994</v>
      </c>
      <c r="M13" s="1">
        <f t="shared" si="3"/>
        <v>0.58923819495327456</v>
      </c>
      <c r="N13" s="1">
        <v>0.27300000000000002</v>
      </c>
      <c r="O13" s="11">
        <f t="shared" si="4"/>
        <v>160.862027222244</v>
      </c>
    </row>
    <row r="14" spans="1:15" x14ac:dyDescent="0.2">
      <c r="A14" s="1" t="s">
        <v>26</v>
      </c>
      <c r="B14" s="1" t="s">
        <v>21</v>
      </c>
      <c r="C14" s="1">
        <v>4</v>
      </c>
      <c r="D14" s="1">
        <v>15</v>
      </c>
      <c r="E14" s="1">
        <v>6</v>
      </c>
      <c r="F14" s="4">
        <f t="shared" si="0"/>
        <v>95.425876852789969</v>
      </c>
      <c r="G14" s="5">
        <v>4.8</v>
      </c>
      <c r="H14" s="1">
        <v>125</v>
      </c>
      <c r="I14" s="8">
        <f t="shared" si="1"/>
        <v>120.2</v>
      </c>
      <c r="J14" s="1">
        <v>67.3</v>
      </c>
      <c r="K14" s="1">
        <v>67.2</v>
      </c>
      <c r="L14" s="8">
        <f t="shared" si="2"/>
        <v>62.400000000000006</v>
      </c>
      <c r="M14" s="1">
        <f t="shared" si="3"/>
        <v>0.65391067976521944</v>
      </c>
      <c r="N14" s="1">
        <v>0.30599999999999999</v>
      </c>
      <c r="O14" s="11">
        <f t="shared" si="4"/>
        <v>200.09666800815714</v>
      </c>
    </row>
    <row r="15" spans="1:15" x14ac:dyDescent="0.2">
      <c r="A15" s="1" t="s">
        <v>26</v>
      </c>
      <c r="B15" s="1" t="s">
        <v>21</v>
      </c>
      <c r="C15" s="1">
        <v>5</v>
      </c>
      <c r="D15" s="1">
        <v>15</v>
      </c>
      <c r="E15" s="1">
        <v>9</v>
      </c>
      <c r="F15" s="4">
        <f t="shared" si="0"/>
        <v>143.13881527918494</v>
      </c>
      <c r="G15" s="5">
        <v>4.8</v>
      </c>
      <c r="H15" s="1">
        <v>174.5</v>
      </c>
      <c r="I15" s="8">
        <f t="shared" si="1"/>
        <v>169.7</v>
      </c>
      <c r="J15" s="1">
        <v>139.80000000000001</v>
      </c>
      <c r="K15" s="1">
        <v>86.9</v>
      </c>
      <c r="L15" s="8">
        <f t="shared" si="2"/>
        <v>82.100000000000009</v>
      </c>
      <c r="M15" s="1">
        <f t="shared" si="3"/>
        <v>0.57356908983680044</v>
      </c>
      <c r="N15" s="1">
        <v>0.27400000000000002</v>
      </c>
      <c r="O15" s="11">
        <f t="shared" si="4"/>
        <v>157.15793061528331</v>
      </c>
    </row>
    <row r="16" spans="1:15" x14ac:dyDescent="0.2">
      <c r="A16" s="1" t="s">
        <v>26</v>
      </c>
      <c r="B16" s="1" t="s">
        <v>21</v>
      </c>
      <c r="C16" s="1">
        <v>6</v>
      </c>
      <c r="D16" s="1">
        <v>15</v>
      </c>
      <c r="E16" s="1">
        <v>8</v>
      </c>
      <c r="F16" s="4">
        <f t="shared" si="0"/>
        <v>127.23450247038662</v>
      </c>
      <c r="G16" s="5">
        <v>4.8</v>
      </c>
      <c r="H16" s="1">
        <v>166.7</v>
      </c>
      <c r="I16" s="8">
        <f t="shared" si="1"/>
        <v>161.89999999999998</v>
      </c>
      <c r="J16" s="1">
        <v>81</v>
      </c>
      <c r="K16" s="1">
        <v>80.900000000000006</v>
      </c>
      <c r="L16" s="8">
        <f t="shared" si="2"/>
        <v>76.100000000000009</v>
      </c>
      <c r="M16" s="1">
        <f t="shared" si="3"/>
        <v>0.59810820589102409</v>
      </c>
      <c r="N16" s="1">
        <v>0.216</v>
      </c>
      <c r="O16" s="11">
        <f t="shared" si="4"/>
        <v>129.19137247246121</v>
      </c>
    </row>
    <row r="17" spans="1:15" x14ac:dyDescent="0.2">
      <c r="A17" s="1" t="s">
        <v>26</v>
      </c>
      <c r="B17" s="1" t="s">
        <v>21</v>
      </c>
      <c r="C17" s="1">
        <v>7</v>
      </c>
      <c r="D17" s="1">
        <v>15</v>
      </c>
      <c r="E17" s="1">
        <v>8</v>
      </c>
      <c r="F17" s="4">
        <f t="shared" si="0"/>
        <v>127.23450247038662</v>
      </c>
      <c r="G17" s="5">
        <v>4.8</v>
      </c>
      <c r="H17" s="1">
        <v>166</v>
      </c>
      <c r="I17" s="8">
        <f t="shared" si="1"/>
        <v>161.19999999999999</v>
      </c>
      <c r="J17" s="1">
        <v>88.1</v>
      </c>
      <c r="K17" s="1">
        <v>87.9</v>
      </c>
      <c r="L17" s="8">
        <f t="shared" si="2"/>
        <v>83.100000000000009</v>
      </c>
      <c r="M17" s="1">
        <f t="shared" si="3"/>
        <v>0.65312472942896316</v>
      </c>
      <c r="N17" s="1">
        <v>0.315</v>
      </c>
      <c r="O17" s="11">
        <f t="shared" si="4"/>
        <v>205.73428977012338</v>
      </c>
    </row>
    <row r="18" spans="1:15" x14ac:dyDescent="0.2">
      <c r="A18" s="1" t="s">
        <v>26</v>
      </c>
      <c r="B18" s="1" t="s">
        <v>21</v>
      </c>
      <c r="C18" s="1">
        <v>8</v>
      </c>
      <c r="D18" s="1">
        <v>15</v>
      </c>
      <c r="E18" s="1">
        <v>7</v>
      </c>
      <c r="F18" s="4">
        <f t="shared" si="0"/>
        <v>111.33018966158829</v>
      </c>
      <c r="G18" s="5">
        <v>4.9000000000000004</v>
      </c>
      <c r="H18" s="1">
        <v>120.8</v>
      </c>
      <c r="I18" s="8">
        <f t="shared" si="1"/>
        <v>115.89999999999999</v>
      </c>
      <c r="J18" s="1">
        <v>75.099999999999994</v>
      </c>
      <c r="K18" s="1">
        <v>75.099999999999994</v>
      </c>
      <c r="L18" s="8">
        <f t="shared" si="2"/>
        <v>70.199999999999989</v>
      </c>
      <c r="M18" s="1">
        <f t="shared" si="3"/>
        <v>0.63055672691646147</v>
      </c>
      <c r="N18" s="1">
        <v>0.224</v>
      </c>
      <c r="O18" s="11">
        <f t="shared" si="4"/>
        <v>141.24470682928737</v>
      </c>
    </row>
    <row r="19" spans="1:15" x14ac:dyDescent="0.2">
      <c r="A19" s="1" t="s">
        <v>26</v>
      </c>
      <c r="B19" s="1" t="s">
        <v>21</v>
      </c>
      <c r="C19" s="1">
        <v>9</v>
      </c>
      <c r="D19" s="1">
        <v>15</v>
      </c>
      <c r="E19" s="1">
        <v>8</v>
      </c>
      <c r="F19" s="4">
        <f>PI()*(2.25)^2*E19</f>
        <v>127.23450247038662</v>
      </c>
      <c r="G19" s="5">
        <v>4.8</v>
      </c>
      <c r="H19" s="1">
        <v>165.6</v>
      </c>
      <c r="I19" s="8">
        <f t="shared" si="1"/>
        <v>160.79999999999998</v>
      </c>
      <c r="J19" s="1">
        <v>86.8</v>
      </c>
      <c r="K19" s="1">
        <v>86.7</v>
      </c>
      <c r="L19" s="8">
        <f>K19-G19</f>
        <v>81.900000000000006</v>
      </c>
      <c r="M19" s="1">
        <f t="shared" si="3"/>
        <v>0.64369332539388791</v>
      </c>
      <c r="N19" s="1">
        <v>0.28199999999999997</v>
      </c>
      <c r="O19" s="11">
        <f t="shared" si="4"/>
        <v>181.52151776107635</v>
      </c>
    </row>
    <row r="20" spans="1:15" x14ac:dyDescent="0.2">
      <c r="A20" s="1" t="s">
        <v>29</v>
      </c>
      <c r="B20" s="1" t="s">
        <v>20</v>
      </c>
      <c r="C20" s="1">
        <v>1</v>
      </c>
      <c r="D20" s="1">
        <v>15</v>
      </c>
      <c r="E20" s="1">
        <v>3</v>
      </c>
      <c r="F20" s="4">
        <f t="shared" ref="F20:F37" si="5">PI()*(2.25)^2*E20</f>
        <v>47.712938426394985</v>
      </c>
      <c r="G20" s="1">
        <v>4.9000000000000004</v>
      </c>
      <c r="H20" s="1">
        <v>76.5</v>
      </c>
      <c r="I20" s="8">
        <f t="shared" si="1"/>
        <v>71.599999999999994</v>
      </c>
      <c r="J20" s="1">
        <v>51.1</v>
      </c>
      <c r="K20" s="1">
        <v>45</v>
      </c>
      <c r="L20" s="8">
        <f t="shared" ref="L20:L37" si="6">K20-G20</f>
        <v>40.1</v>
      </c>
      <c r="M20" s="1">
        <f t="shared" si="3"/>
        <v>0.84044289290337493</v>
      </c>
      <c r="N20" s="1">
        <v>0.182</v>
      </c>
      <c r="O20" s="11">
        <f t="shared" si="4"/>
        <v>152.96060650841423</v>
      </c>
    </row>
    <row r="21" spans="1:15" x14ac:dyDescent="0.2">
      <c r="A21" s="1" t="s">
        <v>29</v>
      </c>
      <c r="B21" s="1" t="s">
        <v>20</v>
      </c>
      <c r="C21" s="1">
        <v>2</v>
      </c>
      <c r="D21" s="1">
        <v>15</v>
      </c>
      <c r="E21" s="1">
        <v>4.5</v>
      </c>
      <c r="F21" s="4">
        <f t="shared" si="5"/>
        <v>71.56940763959247</v>
      </c>
      <c r="G21" s="1">
        <v>4.8</v>
      </c>
      <c r="H21" s="1">
        <v>102</v>
      </c>
      <c r="I21" s="8">
        <f t="shared" si="1"/>
        <v>97.2</v>
      </c>
      <c r="J21" s="1">
        <v>76.5</v>
      </c>
      <c r="K21" s="1">
        <v>57.8</v>
      </c>
      <c r="L21" s="8">
        <f t="shared" si="6"/>
        <v>53</v>
      </c>
      <c r="M21" s="1">
        <f t="shared" si="3"/>
        <v>0.74053987238368868</v>
      </c>
      <c r="N21" s="1">
        <v>0.20699999999999999</v>
      </c>
      <c r="O21" s="11">
        <f t="shared" si="4"/>
        <v>153.29175358342357</v>
      </c>
    </row>
    <row r="22" spans="1:15" x14ac:dyDescent="0.2">
      <c r="A22" s="1" t="s">
        <v>29</v>
      </c>
      <c r="B22" s="1" t="s">
        <v>20</v>
      </c>
      <c r="C22" s="1">
        <v>3</v>
      </c>
      <c r="D22" s="1">
        <v>15</v>
      </c>
      <c r="E22" s="1">
        <v>4.5</v>
      </c>
      <c r="F22" s="4">
        <f t="shared" si="5"/>
        <v>71.56940763959247</v>
      </c>
      <c r="G22" s="1">
        <v>4.8</v>
      </c>
      <c r="H22" s="1">
        <v>70.3</v>
      </c>
      <c r="I22" s="8">
        <f t="shared" si="1"/>
        <v>65.5</v>
      </c>
      <c r="J22" s="1">
        <v>30.8</v>
      </c>
      <c r="K22" s="1">
        <v>30.8</v>
      </c>
      <c r="L22" s="8">
        <f t="shared" si="6"/>
        <v>26</v>
      </c>
      <c r="M22" s="1">
        <f t="shared" si="3"/>
        <v>0.36328371098067747</v>
      </c>
      <c r="N22" s="1">
        <v>0.435</v>
      </c>
      <c r="O22" s="11">
        <f t="shared" si="4"/>
        <v>158.02841427659467</v>
      </c>
    </row>
    <row r="23" spans="1:15" x14ac:dyDescent="0.2">
      <c r="A23" s="1" t="s">
        <v>29</v>
      </c>
      <c r="B23" s="1" t="s">
        <v>20</v>
      </c>
      <c r="C23" s="1">
        <v>4</v>
      </c>
      <c r="D23" s="1">
        <v>15</v>
      </c>
      <c r="E23" s="1">
        <v>9.5</v>
      </c>
      <c r="F23" s="4">
        <f t="shared" si="5"/>
        <v>151.09097168358412</v>
      </c>
      <c r="G23" s="1">
        <v>4.9000000000000004</v>
      </c>
      <c r="H23" s="1">
        <v>177.3</v>
      </c>
      <c r="I23" s="8">
        <f t="shared" si="1"/>
        <v>172.4</v>
      </c>
      <c r="J23" s="1">
        <v>98</v>
      </c>
      <c r="K23" s="1">
        <v>98</v>
      </c>
      <c r="L23" s="8">
        <f t="shared" si="6"/>
        <v>93.1</v>
      </c>
      <c r="M23" s="1">
        <f t="shared" si="3"/>
        <v>0.61618506362491821</v>
      </c>
      <c r="N23" s="1">
        <v>0.14099999999999999</v>
      </c>
      <c r="O23" s="11">
        <f t="shared" si="4"/>
        <v>86.882093971113463</v>
      </c>
    </row>
    <row r="24" spans="1:15" x14ac:dyDescent="0.2">
      <c r="A24" s="1" t="s">
        <v>29</v>
      </c>
      <c r="B24" s="1" t="s">
        <v>20</v>
      </c>
      <c r="C24" s="1">
        <v>5</v>
      </c>
      <c r="D24" s="1">
        <v>15</v>
      </c>
      <c r="E24" s="1">
        <v>4</v>
      </c>
      <c r="F24" s="4">
        <f t="shared" si="5"/>
        <v>63.617251235193308</v>
      </c>
      <c r="G24" s="1">
        <v>4.8</v>
      </c>
      <c r="H24" s="1">
        <v>96.5</v>
      </c>
      <c r="I24" s="8">
        <f t="shared" si="1"/>
        <v>91.7</v>
      </c>
      <c r="J24" s="1">
        <v>44.7</v>
      </c>
      <c r="K24" s="1">
        <v>44.7</v>
      </c>
      <c r="L24" s="8">
        <f t="shared" si="6"/>
        <v>39.900000000000006</v>
      </c>
      <c r="M24" s="1">
        <f t="shared" si="3"/>
        <v>0.62718836833250624</v>
      </c>
      <c r="N24" s="1">
        <v>9.4200000000000006E-2</v>
      </c>
      <c r="O24" s="11">
        <f t="shared" si="4"/>
        <v>59.081144296922091</v>
      </c>
    </row>
    <row r="25" spans="1:15" x14ac:dyDescent="0.2">
      <c r="A25" s="1" t="s">
        <v>29</v>
      </c>
      <c r="B25" s="1" t="s">
        <v>20</v>
      </c>
      <c r="C25" s="1">
        <v>6</v>
      </c>
      <c r="D25" s="1">
        <v>15</v>
      </c>
      <c r="E25" s="1">
        <v>6</v>
      </c>
      <c r="F25" s="4">
        <f t="shared" si="5"/>
        <v>95.425876852789969</v>
      </c>
      <c r="G25" s="1">
        <v>4.9000000000000004</v>
      </c>
      <c r="H25" s="1">
        <v>140.1</v>
      </c>
      <c r="I25" s="8">
        <f t="shared" si="1"/>
        <v>135.19999999999999</v>
      </c>
      <c r="J25" s="1">
        <v>111.2</v>
      </c>
      <c r="K25" s="1">
        <v>74.8</v>
      </c>
      <c r="L25" s="8">
        <f t="shared" si="6"/>
        <v>69.899999999999991</v>
      </c>
      <c r="M25" s="1">
        <f t="shared" si="3"/>
        <v>0.73250571339084658</v>
      </c>
      <c r="N25" s="1">
        <v>0.17199999999999999</v>
      </c>
      <c r="O25" s="11">
        <f t="shared" si="4"/>
        <v>125.99098270322558</v>
      </c>
    </row>
    <row r="26" spans="1:15" x14ac:dyDescent="0.2">
      <c r="A26" s="1" t="s">
        <v>29</v>
      </c>
      <c r="B26" s="1" t="s">
        <v>20</v>
      </c>
      <c r="C26" s="1">
        <v>7</v>
      </c>
      <c r="D26" s="1">
        <v>15</v>
      </c>
      <c r="E26" s="1">
        <v>7</v>
      </c>
      <c r="F26" s="4">
        <f t="shared" si="5"/>
        <v>111.33018966158829</v>
      </c>
      <c r="G26" s="1">
        <v>4.9000000000000004</v>
      </c>
      <c r="H26" s="1">
        <v>139.9</v>
      </c>
      <c r="I26" s="8">
        <f t="shared" si="1"/>
        <v>135</v>
      </c>
      <c r="J26" s="1">
        <v>108.5</v>
      </c>
      <c r="K26" s="1">
        <v>76.400000000000006</v>
      </c>
      <c r="L26" s="8">
        <f t="shared" si="6"/>
        <v>71.5</v>
      </c>
      <c r="M26" s="1">
        <f t="shared" si="3"/>
        <v>0.64223370334084051</v>
      </c>
      <c r="N26" s="1">
        <v>0.128</v>
      </c>
      <c r="O26" s="11">
        <f t="shared" si="4"/>
        <v>82.205914027627585</v>
      </c>
    </row>
    <row r="27" spans="1:15" x14ac:dyDescent="0.2">
      <c r="A27" s="1" t="s">
        <v>29</v>
      </c>
      <c r="B27" s="1" t="s">
        <v>20</v>
      </c>
      <c r="C27" s="1">
        <v>8</v>
      </c>
      <c r="D27" s="1">
        <v>15</v>
      </c>
      <c r="E27" s="1">
        <v>4</v>
      </c>
      <c r="F27" s="4">
        <f t="shared" si="5"/>
        <v>63.617251235193308</v>
      </c>
      <c r="G27" s="1">
        <v>4.8</v>
      </c>
      <c r="H27" s="1">
        <v>95.1</v>
      </c>
      <c r="I27" s="8">
        <f t="shared" si="1"/>
        <v>90.3</v>
      </c>
      <c r="J27" s="1">
        <v>43.2</v>
      </c>
      <c r="K27" s="1">
        <v>43.2</v>
      </c>
      <c r="L27" s="8">
        <f t="shared" si="6"/>
        <v>38.400000000000006</v>
      </c>
      <c r="M27" s="1">
        <f t="shared" si="3"/>
        <v>0.60360985824481805</v>
      </c>
      <c r="N27" s="1">
        <v>0.247</v>
      </c>
      <c r="O27" s="11">
        <f t="shared" si="4"/>
        <v>149.09163498647004</v>
      </c>
    </row>
    <row r="28" spans="1:15" x14ac:dyDescent="0.2">
      <c r="A28" s="1" t="s">
        <v>29</v>
      </c>
      <c r="B28" s="1" t="s">
        <v>20</v>
      </c>
      <c r="C28" s="1">
        <v>9</v>
      </c>
      <c r="D28" s="1">
        <v>15</v>
      </c>
      <c r="E28" s="1">
        <v>8</v>
      </c>
      <c r="F28" s="4">
        <f t="shared" si="5"/>
        <v>127.23450247038662</v>
      </c>
      <c r="G28" s="1">
        <v>4.8</v>
      </c>
      <c r="H28" s="1">
        <v>143.80000000000001</v>
      </c>
      <c r="I28" s="8">
        <f t="shared" si="1"/>
        <v>139</v>
      </c>
      <c r="J28" s="1">
        <v>64.099999999999994</v>
      </c>
      <c r="K28" s="1">
        <v>64.099999999999994</v>
      </c>
      <c r="L28" s="8">
        <f t="shared" si="6"/>
        <v>59.3</v>
      </c>
      <c r="M28" s="1">
        <f t="shared" si="3"/>
        <v>0.46606854939997006</v>
      </c>
      <c r="N28" s="1">
        <v>0.27300000000000002</v>
      </c>
      <c r="O28" s="11">
        <f t="shared" si="4"/>
        <v>127.23671398619182</v>
      </c>
    </row>
    <row r="29" spans="1:15" x14ac:dyDescent="0.2">
      <c r="A29" s="1" t="s">
        <v>29</v>
      </c>
      <c r="B29" s="1" t="s">
        <v>21</v>
      </c>
      <c r="C29" s="1">
        <v>1</v>
      </c>
      <c r="D29" s="1">
        <v>15</v>
      </c>
      <c r="E29" s="1">
        <v>3</v>
      </c>
      <c r="F29" s="4">
        <f t="shared" si="5"/>
        <v>47.712938426394985</v>
      </c>
      <c r="G29" s="1">
        <v>4.9000000000000004</v>
      </c>
      <c r="H29" s="1">
        <v>69.7</v>
      </c>
      <c r="I29" s="8">
        <f t="shared" si="1"/>
        <v>64.8</v>
      </c>
      <c r="J29" s="1">
        <v>39.6</v>
      </c>
      <c r="K29" s="1">
        <v>39.6</v>
      </c>
      <c r="L29" s="8">
        <f t="shared" si="6"/>
        <v>34.700000000000003</v>
      </c>
      <c r="M29" s="1">
        <f t="shared" si="3"/>
        <v>0.72726604448247156</v>
      </c>
      <c r="N29" s="1">
        <v>5.62E-2</v>
      </c>
      <c r="O29" s="11">
        <f t="shared" si="4"/>
        <v>40.872351699914901</v>
      </c>
    </row>
    <row r="30" spans="1:15" x14ac:dyDescent="0.2">
      <c r="A30" s="1" t="s">
        <v>29</v>
      </c>
      <c r="B30" s="1" t="s">
        <v>21</v>
      </c>
      <c r="C30" s="1">
        <v>2</v>
      </c>
      <c r="D30" s="1">
        <v>15</v>
      </c>
      <c r="E30" s="1">
        <v>8.5</v>
      </c>
      <c r="F30" s="4">
        <f t="shared" si="5"/>
        <v>135.18665887478579</v>
      </c>
      <c r="G30" s="1">
        <v>4.9000000000000004</v>
      </c>
      <c r="H30" s="1">
        <v>166.4</v>
      </c>
      <c r="I30" s="8">
        <f t="shared" si="1"/>
        <v>161.5</v>
      </c>
      <c r="J30" s="1">
        <v>134.80000000000001</v>
      </c>
      <c r="K30" s="1">
        <v>98.4</v>
      </c>
      <c r="L30" s="8">
        <f t="shared" si="6"/>
        <v>93.5</v>
      </c>
      <c r="M30" s="1">
        <f t="shared" si="3"/>
        <v>0.69163629590552045</v>
      </c>
      <c r="N30" s="1">
        <v>5.7599999999999998E-2</v>
      </c>
      <c r="O30" s="11">
        <f t="shared" si="4"/>
        <v>39.838250644157981</v>
      </c>
    </row>
    <row r="31" spans="1:15" x14ac:dyDescent="0.2">
      <c r="A31" s="1" t="s">
        <v>29</v>
      </c>
      <c r="B31" s="1" t="s">
        <v>21</v>
      </c>
      <c r="C31" s="1">
        <v>3</v>
      </c>
      <c r="D31" s="1">
        <v>15</v>
      </c>
      <c r="E31" s="1">
        <v>4</v>
      </c>
      <c r="F31" s="4">
        <f t="shared" si="5"/>
        <v>63.617251235193308</v>
      </c>
      <c r="G31" s="1">
        <v>4.8</v>
      </c>
      <c r="H31" s="1">
        <v>89.4</v>
      </c>
      <c r="I31" s="8">
        <f t="shared" si="1"/>
        <v>84.600000000000009</v>
      </c>
      <c r="J31" s="1">
        <v>62.2</v>
      </c>
      <c r="K31" s="1">
        <v>51.1</v>
      </c>
      <c r="L31" s="8">
        <f t="shared" si="6"/>
        <v>46.300000000000004</v>
      </c>
      <c r="M31" s="1">
        <f t="shared" si="3"/>
        <v>0.72779001137330912</v>
      </c>
      <c r="N31" s="1">
        <v>9.0200000000000002E-2</v>
      </c>
      <c r="O31" s="11">
        <f t="shared" si="4"/>
        <v>65.646659025872481</v>
      </c>
    </row>
    <row r="32" spans="1:15" x14ac:dyDescent="0.2">
      <c r="A32" s="1" t="s">
        <v>29</v>
      </c>
      <c r="B32" s="1" t="s">
        <v>21</v>
      </c>
      <c r="C32" s="1">
        <v>4</v>
      </c>
      <c r="D32" s="1">
        <v>15</v>
      </c>
      <c r="E32" s="1">
        <v>5</v>
      </c>
      <c r="F32" s="4">
        <f t="shared" si="5"/>
        <v>79.521564043991631</v>
      </c>
      <c r="G32" s="1">
        <v>4.7</v>
      </c>
      <c r="H32" s="1">
        <v>85.4</v>
      </c>
      <c r="I32" s="8">
        <f t="shared" si="1"/>
        <v>80.7</v>
      </c>
      <c r="J32" s="1">
        <v>36.9</v>
      </c>
      <c r="K32" s="1">
        <v>36.9</v>
      </c>
      <c r="L32" s="8">
        <f t="shared" si="6"/>
        <v>32.199999999999996</v>
      </c>
      <c r="M32" s="1">
        <f t="shared" si="3"/>
        <v>0.40492161323923198</v>
      </c>
      <c r="N32" s="1">
        <v>0.13600000000000001</v>
      </c>
      <c r="O32" s="11">
        <f t="shared" si="4"/>
        <v>55.069339400535547</v>
      </c>
    </row>
    <row r="33" spans="1:15" x14ac:dyDescent="0.2">
      <c r="A33" s="1" t="s">
        <v>29</v>
      </c>
      <c r="B33" s="1" t="s">
        <v>21</v>
      </c>
      <c r="C33" s="1">
        <v>5</v>
      </c>
      <c r="D33" s="1">
        <v>15</v>
      </c>
      <c r="E33" s="1">
        <v>6.5</v>
      </c>
      <c r="F33" s="4">
        <f t="shared" si="5"/>
        <v>103.37803325718913</v>
      </c>
      <c r="G33" s="1">
        <v>4.8</v>
      </c>
      <c r="H33" s="1">
        <v>125.4</v>
      </c>
      <c r="I33" s="8">
        <f t="shared" si="1"/>
        <v>120.60000000000001</v>
      </c>
      <c r="J33" s="1">
        <v>55.6</v>
      </c>
      <c r="K33" s="1">
        <v>55.6</v>
      </c>
      <c r="L33" s="8">
        <f t="shared" si="6"/>
        <v>50.800000000000004</v>
      </c>
      <c r="M33" s="1">
        <f t="shared" si="3"/>
        <v>0.49140033331469152</v>
      </c>
      <c r="N33" s="1">
        <v>0.314</v>
      </c>
      <c r="O33" s="11">
        <f t="shared" si="4"/>
        <v>154.29970466081315</v>
      </c>
    </row>
    <row r="34" spans="1:15" x14ac:dyDescent="0.2">
      <c r="A34" s="1" t="s">
        <v>29</v>
      </c>
      <c r="B34" s="1" t="s">
        <v>21</v>
      </c>
      <c r="C34" s="1">
        <v>6</v>
      </c>
      <c r="D34" s="1">
        <v>15</v>
      </c>
      <c r="E34" s="1">
        <v>4</v>
      </c>
      <c r="F34" s="4">
        <f t="shared" si="5"/>
        <v>63.617251235193308</v>
      </c>
      <c r="G34" s="1">
        <v>4.8</v>
      </c>
      <c r="H34" s="1">
        <v>89.8</v>
      </c>
      <c r="I34" s="8">
        <f t="shared" si="1"/>
        <v>85</v>
      </c>
      <c r="J34" s="1">
        <v>42.2</v>
      </c>
      <c r="K34" s="1">
        <v>42.2</v>
      </c>
      <c r="L34" s="8">
        <f t="shared" si="6"/>
        <v>37.400000000000006</v>
      </c>
      <c r="M34" s="1">
        <f t="shared" si="3"/>
        <v>0.58789085151969256</v>
      </c>
      <c r="N34" s="1">
        <v>0.16900000000000001</v>
      </c>
      <c r="O34" s="11">
        <f t="shared" si="4"/>
        <v>99.353553906828054</v>
      </c>
    </row>
    <row r="35" spans="1:15" x14ac:dyDescent="0.2">
      <c r="A35" s="1" t="s">
        <v>29</v>
      </c>
      <c r="B35" s="1" t="s">
        <v>21</v>
      </c>
      <c r="C35" s="1">
        <v>7</v>
      </c>
      <c r="D35" s="1">
        <v>15</v>
      </c>
      <c r="E35" s="1">
        <v>4</v>
      </c>
      <c r="F35" s="4">
        <f t="shared" si="5"/>
        <v>63.617251235193308</v>
      </c>
      <c r="G35" s="1">
        <v>4.9000000000000004</v>
      </c>
      <c r="H35" s="1">
        <v>79.5</v>
      </c>
      <c r="I35" s="8">
        <f t="shared" si="1"/>
        <v>74.599999999999994</v>
      </c>
      <c r="J35" s="1">
        <v>36.6</v>
      </c>
      <c r="K35" s="1">
        <v>36.6</v>
      </c>
      <c r="L35" s="8">
        <f t="shared" si="6"/>
        <v>31.700000000000003</v>
      </c>
      <c r="M35" s="1">
        <f t="shared" si="3"/>
        <v>0.49829251318647733</v>
      </c>
      <c r="N35" s="1">
        <v>0.183</v>
      </c>
      <c r="O35" s="11">
        <f t="shared" si="4"/>
        <v>91.187529913125346</v>
      </c>
    </row>
    <row r="36" spans="1:15" x14ac:dyDescent="0.2">
      <c r="A36" s="1" t="s">
        <v>29</v>
      </c>
      <c r="B36" s="1" t="s">
        <v>21</v>
      </c>
      <c r="C36" s="1">
        <v>8</v>
      </c>
      <c r="D36" s="1">
        <v>15</v>
      </c>
      <c r="E36" s="1">
        <v>5</v>
      </c>
      <c r="F36" s="4">
        <f t="shared" si="5"/>
        <v>79.521564043991631</v>
      </c>
      <c r="G36" s="1">
        <v>4.8</v>
      </c>
      <c r="H36" s="1">
        <v>136</v>
      </c>
      <c r="I36" s="8">
        <f t="shared" si="1"/>
        <v>131.19999999999999</v>
      </c>
      <c r="J36" s="1">
        <v>77.2</v>
      </c>
      <c r="K36" s="1">
        <v>77.2</v>
      </c>
      <c r="L36" s="8">
        <f t="shared" si="6"/>
        <v>72.400000000000006</v>
      </c>
      <c r="M36" s="1">
        <f t="shared" si="3"/>
        <v>0.91044486951926717</v>
      </c>
      <c r="N36" s="1">
        <v>0.14099999999999999</v>
      </c>
      <c r="O36" s="11">
        <f t="shared" si="4"/>
        <v>128.37272660221666</v>
      </c>
    </row>
    <row r="37" spans="1:15" x14ac:dyDescent="0.2">
      <c r="A37" s="1" t="s">
        <v>29</v>
      </c>
      <c r="B37" s="1" t="s">
        <v>21</v>
      </c>
      <c r="C37" s="1">
        <v>9</v>
      </c>
      <c r="D37" s="1">
        <v>15</v>
      </c>
      <c r="E37" s="1">
        <v>4.5</v>
      </c>
      <c r="F37" s="4">
        <f t="shared" si="5"/>
        <v>71.56940763959247</v>
      </c>
      <c r="G37" s="1">
        <v>4.8</v>
      </c>
      <c r="H37" s="1">
        <v>91.3</v>
      </c>
      <c r="I37" s="8">
        <f>H37-G37</f>
        <v>86.5</v>
      </c>
      <c r="J37" s="1">
        <v>60.8</v>
      </c>
      <c r="K37" s="1">
        <v>44.5</v>
      </c>
      <c r="L37" s="8">
        <f t="shared" si="6"/>
        <v>39.700000000000003</v>
      </c>
      <c r="M37" s="1">
        <f t="shared" si="3"/>
        <v>0.55470628176664982</v>
      </c>
      <c r="N37" s="1">
        <v>0.27200000000000002</v>
      </c>
      <c r="O37" s="11">
        <f t="shared" si="4"/>
        <v>150.88010864052876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487A-8710-F248-A59E-444FA5BD6BEE}">
  <dimension ref="A1:O37"/>
  <sheetViews>
    <sheetView tabSelected="1" zoomScale="88" workbookViewId="0">
      <pane ySplit="1" topLeftCell="A2" activePane="bottomLeft" state="frozen"/>
      <selection activeCell="C1" sqref="C1"/>
      <selection pane="bottomLeft" activeCell="C11" sqref="C11"/>
    </sheetView>
  </sheetViews>
  <sheetFormatPr baseColWidth="10" defaultColWidth="17.6640625" defaultRowHeight="16" x14ac:dyDescent="0.2"/>
  <cols>
    <col min="1" max="8" width="17.6640625" style="1"/>
    <col min="9" max="9" width="17.6640625" style="6"/>
    <col min="10" max="11" width="22" style="1" customWidth="1"/>
    <col min="12" max="12" width="22.6640625" style="6" customWidth="1"/>
    <col min="13" max="13" width="28.33203125" style="1" customWidth="1"/>
    <col min="14" max="14" width="26.83203125" style="18" customWidth="1"/>
    <col min="15" max="15" width="24.1640625" style="20" customWidth="1"/>
    <col min="16" max="16384" width="17.6640625" style="1"/>
  </cols>
  <sheetData>
    <row r="1" spans="1:15" s="2" customFormat="1" x14ac:dyDescent="0.2">
      <c r="A1" s="2" t="s">
        <v>30</v>
      </c>
      <c r="B1" s="2" t="s">
        <v>31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  <c r="I1" s="7" t="s">
        <v>11</v>
      </c>
      <c r="J1" s="2" t="s">
        <v>8</v>
      </c>
      <c r="K1" s="2" t="s">
        <v>9</v>
      </c>
      <c r="L1" s="7" t="s">
        <v>10</v>
      </c>
      <c r="M1" s="2" t="s">
        <v>12</v>
      </c>
      <c r="N1" s="2" t="s">
        <v>23</v>
      </c>
      <c r="O1" s="19" t="s">
        <v>25</v>
      </c>
    </row>
    <row r="2" spans="1:15" x14ac:dyDescent="0.2">
      <c r="A2" s="1" t="s">
        <v>26</v>
      </c>
      <c r="B2" s="1" t="s">
        <v>20</v>
      </c>
      <c r="C2" s="1">
        <v>1</v>
      </c>
      <c r="D2" s="1">
        <v>15</v>
      </c>
      <c r="E2" s="1">
        <v>11</v>
      </c>
      <c r="F2" s="4">
        <f>PI()*(2.25)^2*E2</f>
        <v>174.94744089678159</v>
      </c>
      <c r="G2" s="4">
        <v>4.8</v>
      </c>
      <c r="H2" s="1">
        <v>240.4</v>
      </c>
      <c r="I2" s="13">
        <f>H2-G2</f>
        <v>235.6</v>
      </c>
      <c r="J2" s="1">
        <v>211.1</v>
      </c>
      <c r="K2" s="1">
        <v>144</v>
      </c>
      <c r="L2" s="13">
        <f>K2-G2</f>
        <v>139.19999999999999</v>
      </c>
      <c r="M2" s="1">
        <f>L2/F2</f>
        <v>0.79566754041362364</v>
      </c>
      <c r="N2" s="17">
        <v>44.1</v>
      </c>
      <c r="O2" s="21">
        <f>((N2*M2)/1000000)*10*10000</f>
        <v>3.5088938532240803</v>
      </c>
    </row>
    <row r="3" spans="1:15" x14ac:dyDescent="0.2">
      <c r="A3" s="1" t="s">
        <v>26</v>
      </c>
      <c r="B3" s="1" t="s">
        <v>20</v>
      </c>
      <c r="C3" s="1">
        <v>2</v>
      </c>
      <c r="D3" s="1">
        <v>15</v>
      </c>
      <c r="E3" s="1">
        <v>6</v>
      </c>
      <c r="F3" s="4">
        <f t="shared" ref="F3:F18" si="0">PI()*(2.25)^2*E3</f>
        <v>95.425876852789969</v>
      </c>
      <c r="G3" s="4">
        <v>4.8</v>
      </c>
      <c r="H3" s="1">
        <v>159.9</v>
      </c>
      <c r="I3" s="13">
        <f t="shared" ref="I3:I18" si="1">H3-G3</f>
        <v>155.1</v>
      </c>
      <c r="J3" s="1">
        <v>138.9</v>
      </c>
      <c r="K3" s="1">
        <v>103.6</v>
      </c>
      <c r="L3" s="13">
        <f t="shared" ref="L3:L18" si="2">K3-G3</f>
        <v>98.8</v>
      </c>
      <c r="M3" s="1">
        <f t="shared" ref="M3:M37" si="3">L3/F3</f>
        <v>1.0353585762949307</v>
      </c>
      <c r="N3" s="17">
        <v>47.5</v>
      </c>
      <c r="O3" s="21">
        <f t="shared" ref="O3:O37" si="4">((N3*M3)/1000000)*10*10000</f>
        <v>4.9179532374009209</v>
      </c>
    </row>
    <row r="4" spans="1:15" x14ac:dyDescent="0.2">
      <c r="A4" s="1" t="s">
        <v>26</v>
      </c>
      <c r="B4" s="1" t="s">
        <v>20</v>
      </c>
      <c r="C4" s="1">
        <v>3</v>
      </c>
      <c r="D4" s="1">
        <v>15</v>
      </c>
      <c r="E4" s="1">
        <v>7.5</v>
      </c>
      <c r="F4" s="4">
        <f t="shared" si="0"/>
        <v>119.28234606598745</v>
      </c>
      <c r="G4" s="4">
        <v>4.9000000000000004</v>
      </c>
      <c r="H4" s="1">
        <v>123.4</v>
      </c>
      <c r="I4" s="13">
        <f t="shared" si="1"/>
        <v>118.5</v>
      </c>
      <c r="J4" s="1">
        <v>45.7</v>
      </c>
      <c r="K4" s="1">
        <v>45.5</v>
      </c>
      <c r="L4" s="13">
        <f t="shared" si="2"/>
        <v>40.6</v>
      </c>
      <c r="M4" s="1">
        <f t="shared" si="3"/>
        <v>0.34036889228805012</v>
      </c>
      <c r="N4" s="17">
        <v>37.6</v>
      </c>
      <c r="O4" s="21">
        <f t="shared" si="4"/>
        <v>1.2797870350030685</v>
      </c>
    </row>
    <row r="5" spans="1:15" x14ac:dyDescent="0.2">
      <c r="A5" s="1" t="s">
        <v>26</v>
      </c>
      <c r="B5" s="1" t="s">
        <v>20</v>
      </c>
      <c r="C5" s="1">
        <v>4</v>
      </c>
      <c r="D5" s="1">
        <v>15</v>
      </c>
      <c r="E5" s="1">
        <v>7</v>
      </c>
      <c r="F5" s="4">
        <f t="shared" si="0"/>
        <v>111.33018966158829</v>
      </c>
      <c r="G5" s="4">
        <v>4.8</v>
      </c>
      <c r="H5" s="1">
        <v>124.7</v>
      </c>
      <c r="I5" s="13">
        <f t="shared" si="1"/>
        <v>119.9</v>
      </c>
      <c r="J5" s="1">
        <v>92.1</v>
      </c>
      <c r="K5" s="1">
        <v>68.400000000000006</v>
      </c>
      <c r="L5" s="13">
        <f t="shared" si="2"/>
        <v>63.600000000000009</v>
      </c>
      <c r="M5" s="1">
        <f t="shared" si="3"/>
        <v>0.57127361583884562</v>
      </c>
      <c r="N5" s="17">
        <v>25.5</v>
      </c>
      <c r="O5" s="21">
        <f t="shared" si="4"/>
        <v>1.4567477203890564</v>
      </c>
    </row>
    <row r="6" spans="1:15" x14ac:dyDescent="0.2">
      <c r="A6" s="1" t="s">
        <v>26</v>
      </c>
      <c r="B6" s="1" t="s">
        <v>20</v>
      </c>
      <c r="C6" s="1">
        <v>5</v>
      </c>
      <c r="D6" s="1">
        <v>15</v>
      </c>
      <c r="E6" s="1">
        <v>12</v>
      </c>
      <c r="F6" s="4">
        <f t="shared" si="0"/>
        <v>190.85175370557994</v>
      </c>
      <c r="G6" s="4">
        <v>4.8</v>
      </c>
      <c r="H6" s="1">
        <v>223.3</v>
      </c>
      <c r="I6" s="13">
        <f t="shared" si="1"/>
        <v>218.5</v>
      </c>
      <c r="J6" s="1">
        <v>192.7</v>
      </c>
      <c r="K6" s="1">
        <v>104.4</v>
      </c>
      <c r="L6" s="13">
        <f t="shared" si="2"/>
        <v>99.600000000000009</v>
      </c>
      <c r="M6" s="1">
        <f t="shared" si="3"/>
        <v>0.52187102327416546</v>
      </c>
      <c r="N6" s="17">
        <v>43</v>
      </c>
      <c r="O6" s="21">
        <f t="shared" si="4"/>
        <v>2.2440454000789116</v>
      </c>
    </row>
    <row r="7" spans="1:15" x14ac:dyDescent="0.2">
      <c r="A7" s="1" t="s">
        <v>26</v>
      </c>
      <c r="B7" s="1" t="s">
        <v>20</v>
      </c>
      <c r="C7" s="1">
        <v>6</v>
      </c>
      <c r="D7" s="1">
        <v>15</v>
      </c>
      <c r="E7" s="1">
        <v>12</v>
      </c>
      <c r="F7" s="4">
        <f t="shared" si="0"/>
        <v>190.85175370557994</v>
      </c>
      <c r="G7" s="4">
        <v>4.9000000000000004</v>
      </c>
      <c r="H7" s="1">
        <v>235.1</v>
      </c>
      <c r="I7" s="13">
        <f t="shared" si="1"/>
        <v>230.2</v>
      </c>
      <c r="J7" s="1">
        <v>132.69999999999999</v>
      </c>
      <c r="K7" s="1">
        <v>132.19999999999999</v>
      </c>
      <c r="L7" s="13">
        <f t="shared" si="2"/>
        <v>127.29999999999998</v>
      </c>
      <c r="M7" s="1">
        <f t="shared" si="3"/>
        <v>0.66700985203615715</v>
      </c>
      <c r="N7" s="17">
        <v>26.4</v>
      </c>
      <c r="O7" s="21">
        <f t="shared" si="4"/>
        <v>1.7609060093754547</v>
      </c>
    </row>
    <row r="8" spans="1:15" x14ac:dyDescent="0.2">
      <c r="A8" s="1" t="s">
        <v>26</v>
      </c>
      <c r="B8" s="1" t="s">
        <v>20</v>
      </c>
      <c r="C8" s="1">
        <v>7</v>
      </c>
      <c r="D8" s="1">
        <v>15</v>
      </c>
      <c r="E8" s="1">
        <v>10</v>
      </c>
      <c r="F8" s="4">
        <f t="shared" si="0"/>
        <v>159.04312808798326</v>
      </c>
      <c r="G8" s="4">
        <v>4.8</v>
      </c>
      <c r="H8" s="1">
        <v>181.7</v>
      </c>
      <c r="I8" s="13">
        <f t="shared" si="1"/>
        <v>176.89999999999998</v>
      </c>
      <c r="J8" s="1">
        <v>134.69999999999999</v>
      </c>
      <c r="K8" s="1">
        <v>99.3</v>
      </c>
      <c r="L8" s="13">
        <f t="shared" si="2"/>
        <v>94.5</v>
      </c>
      <c r="M8" s="1">
        <f t="shared" si="3"/>
        <v>0.59417845420974269</v>
      </c>
      <c r="N8" s="17">
        <v>35</v>
      </c>
      <c r="O8" s="21">
        <f t="shared" si="4"/>
        <v>2.0796245897340992</v>
      </c>
    </row>
    <row r="9" spans="1:15" x14ac:dyDescent="0.2">
      <c r="A9" s="1" t="s">
        <v>26</v>
      </c>
      <c r="B9" s="1" t="s">
        <v>20</v>
      </c>
      <c r="C9" s="1">
        <v>8</v>
      </c>
      <c r="D9" s="1">
        <v>15</v>
      </c>
      <c r="E9" s="1">
        <v>5.5</v>
      </c>
      <c r="F9" s="4">
        <f t="shared" si="0"/>
        <v>87.473720448390793</v>
      </c>
      <c r="G9" s="4">
        <v>4.9000000000000004</v>
      </c>
      <c r="H9" s="1">
        <v>116.9</v>
      </c>
      <c r="I9" s="13">
        <f t="shared" si="1"/>
        <v>112</v>
      </c>
      <c r="J9" s="1">
        <v>93</v>
      </c>
      <c r="K9" s="1">
        <v>60.1</v>
      </c>
      <c r="L9" s="13">
        <f t="shared" si="2"/>
        <v>55.2</v>
      </c>
      <c r="M9" s="1">
        <f t="shared" si="3"/>
        <v>0.63104666998321879</v>
      </c>
      <c r="N9" s="17">
        <v>39.200000000000003</v>
      </c>
      <c r="O9" s="21">
        <f t="shared" si="4"/>
        <v>2.4737029463342179</v>
      </c>
    </row>
    <row r="10" spans="1:15" x14ac:dyDescent="0.2">
      <c r="A10" s="1" t="s">
        <v>26</v>
      </c>
      <c r="B10" s="1" t="s">
        <v>20</v>
      </c>
      <c r="C10" s="1">
        <v>9</v>
      </c>
      <c r="D10" s="1">
        <v>15</v>
      </c>
      <c r="E10" s="1">
        <v>10.5</v>
      </c>
      <c r="F10" s="4">
        <f t="shared" si="0"/>
        <v>166.99528449238244</v>
      </c>
      <c r="G10" s="4">
        <v>4.8</v>
      </c>
      <c r="H10" s="1">
        <v>202.8</v>
      </c>
      <c r="I10" s="13">
        <f t="shared" si="1"/>
        <v>198</v>
      </c>
      <c r="J10" s="1">
        <v>91.5</v>
      </c>
      <c r="K10" s="1">
        <v>91.4</v>
      </c>
      <c r="L10" s="13">
        <f t="shared" si="2"/>
        <v>86.600000000000009</v>
      </c>
      <c r="M10" s="1">
        <f t="shared" si="3"/>
        <v>0.51857751710318689</v>
      </c>
      <c r="N10" s="17">
        <v>33.9</v>
      </c>
      <c r="O10" s="21">
        <f t="shared" si="4"/>
        <v>1.7579777829798038</v>
      </c>
    </row>
    <row r="11" spans="1:15" x14ac:dyDescent="0.2">
      <c r="A11" s="1" t="s">
        <v>26</v>
      </c>
      <c r="B11" s="1" t="s">
        <v>21</v>
      </c>
      <c r="C11" s="1">
        <v>1</v>
      </c>
      <c r="D11" s="1">
        <v>15</v>
      </c>
      <c r="E11" s="1">
        <v>7</v>
      </c>
      <c r="F11" s="4">
        <f t="shared" si="0"/>
        <v>111.33018966158829</v>
      </c>
      <c r="G11" s="4">
        <v>4.7</v>
      </c>
      <c r="H11" s="1">
        <v>179.5</v>
      </c>
      <c r="I11" s="13">
        <f t="shared" si="1"/>
        <v>174.8</v>
      </c>
      <c r="J11" s="1">
        <v>116.8</v>
      </c>
      <c r="K11" s="1">
        <v>116.8</v>
      </c>
      <c r="L11" s="13">
        <f t="shared" si="2"/>
        <v>112.1</v>
      </c>
      <c r="M11" s="1">
        <f t="shared" si="3"/>
        <v>1.0069146593637512</v>
      </c>
      <c r="N11" s="17">
        <v>50.7</v>
      </c>
      <c r="O11" s="21">
        <f t="shared" si="4"/>
        <v>5.1050573229742184</v>
      </c>
    </row>
    <row r="12" spans="1:15" x14ac:dyDescent="0.2">
      <c r="A12" s="1" t="s">
        <v>26</v>
      </c>
      <c r="B12" s="1" t="s">
        <v>21</v>
      </c>
      <c r="C12" s="1">
        <v>2</v>
      </c>
      <c r="D12" s="1">
        <v>15</v>
      </c>
      <c r="E12" s="1">
        <v>9</v>
      </c>
      <c r="F12" s="4">
        <f t="shared" si="0"/>
        <v>143.13881527918494</v>
      </c>
      <c r="G12" s="4">
        <v>4.8</v>
      </c>
      <c r="H12" s="1">
        <v>195.7</v>
      </c>
      <c r="I12" s="13">
        <f t="shared" si="1"/>
        <v>190.89999999999998</v>
      </c>
      <c r="J12" s="1">
        <v>157.19999999999999</v>
      </c>
      <c r="K12" s="1">
        <v>108.4</v>
      </c>
      <c r="L12" s="13">
        <f t="shared" si="2"/>
        <v>103.60000000000001</v>
      </c>
      <c r="M12" s="1">
        <f t="shared" si="3"/>
        <v>0.72377293187688818</v>
      </c>
      <c r="N12" s="17">
        <v>44.6</v>
      </c>
      <c r="O12" s="21">
        <f t="shared" si="4"/>
        <v>3.2280272761709208</v>
      </c>
    </row>
    <row r="13" spans="1:15" x14ac:dyDescent="0.2">
      <c r="A13" s="1" t="s">
        <v>26</v>
      </c>
      <c r="B13" s="1" t="s">
        <v>21</v>
      </c>
      <c r="C13" s="1">
        <v>3</v>
      </c>
      <c r="D13" s="1">
        <v>15</v>
      </c>
      <c r="E13" s="1">
        <v>7</v>
      </c>
      <c r="F13" s="4">
        <f t="shared" si="0"/>
        <v>111.33018966158829</v>
      </c>
      <c r="G13" s="4">
        <v>4.7</v>
      </c>
      <c r="H13" s="1">
        <v>141.5</v>
      </c>
      <c r="I13" s="13">
        <f t="shared" si="1"/>
        <v>136.80000000000001</v>
      </c>
      <c r="J13" s="1">
        <v>77.8</v>
      </c>
      <c r="K13" s="1">
        <v>77.7</v>
      </c>
      <c r="L13" s="13">
        <f t="shared" si="2"/>
        <v>73</v>
      </c>
      <c r="M13" s="1">
        <f t="shared" si="3"/>
        <v>0.65570713767666233</v>
      </c>
      <c r="N13" s="17">
        <v>39.9</v>
      </c>
      <c r="O13" s="21">
        <f t="shared" si="4"/>
        <v>2.6162714793298822</v>
      </c>
    </row>
    <row r="14" spans="1:15" x14ac:dyDescent="0.2">
      <c r="A14" s="1" t="s">
        <v>26</v>
      </c>
      <c r="B14" s="1" t="s">
        <v>21</v>
      </c>
      <c r="C14" s="1">
        <v>4</v>
      </c>
      <c r="D14" s="1">
        <v>15</v>
      </c>
      <c r="E14" s="1">
        <v>5</v>
      </c>
      <c r="F14" s="4">
        <f t="shared" si="0"/>
        <v>79.521564043991631</v>
      </c>
      <c r="G14" s="4">
        <v>4.7</v>
      </c>
      <c r="H14" s="1">
        <v>113.3</v>
      </c>
      <c r="I14" s="13">
        <f t="shared" si="1"/>
        <v>108.6</v>
      </c>
      <c r="J14" s="1">
        <v>55.4</v>
      </c>
      <c r="K14" s="1">
        <v>55.1</v>
      </c>
      <c r="L14" s="13">
        <f t="shared" si="2"/>
        <v>50.4</v>
      </c>
      <c r="M14" s="1">
        <f t="shared" si="3"/>
        <v>0.63379035115705884</v>
      </c>
      <c r="N14" s="17">
        <v>41.6</v>
      </c>
      <c r="O14" s="21">
        <f t="shared" si="4"/>
        <v>2.6365678608133649</v>
      </c>
    </row>
    <row r="15" spans="1:15" x14ac:dyDescent="0.2">
      <c r="A15" s="1" t="s">
        <v>26</v>
      </c>
      <c r="B15" s="1" t="s">
        <v>21</v>
      </c>
      <c r="C15" s="1">
        <v>5</v>
      </c>
      <c r="D15" s="1">
        <v>15</v>
      </c>
      <c r="E15" s="1">
        <v>7</v>
      </c>
      <c r="F15" s="4">
        <f t="shared" si="0"/>
        <v>111.33018966158829</v>
      </c>
      <c r="G15" s="4">
        <v>4.8</v>
      </c>
      <c r="H15" s="1">
        <v>134.80000000000001</v>
      </c>
      <c r="I15" s="13">
        <f t="shared" si="1"/>
        <v>130</v>
      </c>
      <c r="J15" s="1">
        <v>93.9</v>
      </c>
      <c r="K15" s="1">
        <v>55.9</v>
      </c>
      <c r="L15" s="13">
        <f t="shared" si="2"/>
        <v>51.1</v>
      </c>
      <c r="M15" s="1">
        <f t="shared" si="3"/>
        <v>0.45899499637366364</v>
      </c>
      <c r="N15" s="17">
        <v>31.4</v>
      </c>
      <c r="O15" s="21">
        <f t="shared" si="4"/>
        <v>1.4412442886133037</v>
      </c>
    </row>
    <row r="16" spans="1:15" x14ac:dyDescent="0.2">
      <c r="A16" s="1" t="s">
        <v>26</v>
      </c>
      <c r="B16" s="1" t="s">
        <v>21</v>
      </c>
      <c r="C16" s="1">
        <v>6</v>
      </c>
      <c r="D16" s="1">
        <v>15</v>
      </c>
      <c r="E16" s="1">
        <v>8.5</v>
      </c>
      <c r="F16" s="4">
        <f t="shared" si="0"/>
        <v>135.18665887478579</v>
      </c>
      <c r="G16" s="4">
        <v>4.9000000000000004</v>
      </c>
      <c r="H16" s="1">
        <v>174.6</v>
      </c>
      <c r="I16" s="13">
        <f t="shared" si="1"/>
        <v>169.7</v>
      </c>
      <c r="J16" s="1">
        <v>139.6</v>
      </c>
      <c r="K16" s="1">
        <v>91.8</v>
      </c>
      <c r="L16" s="13">
        <f t="shared" si="2"/>
        <v>86.899999999999991</v>
      </c>
      <c r="M16" s="1">
        <f t="shared" si="3"/>
        <v>0.64281491031218951</v>
      </c>
      <c r="N16" s="17">
        <v>49.4</v>
      </c>
      <c r="O16" s="21">
        <f t="shared" si="4"/>
        <v>3.1755056569422164</v>
      </c>
    </row>
    <row r="17" spans="1:15" x14ac:dyDescent="0.2">
      <c r="A17" s="1" t="s">
        <v>26</v>
      </c>
      <c r="B17" s="1" t="s">
        <v>21</v>
      </c>
      <c r="C17" s="1">
        <v>7</v>
      </c>
      <c r="D17" s="1">
        <v>15</v>
      </c>
      <c r="E17" s="1">
        <v>6</v>
      </c>
      <c r="F17" s="4">
        <f t="shared" si="0"/>
        <v>95.425876852789969</v>
      </c>
      <c r="G17" s="4">
        <v>4.9000000000000004</v>
      </c>
      <c r="H17" s="1">
        <v>120.9</v>
      </c>
      <c r="I17" s="13">
        <f t="shared" si="1"/>
        <v>116</v>
      </c>
      <c r="J17" s="1">
        <v>51.2</v>
      </c>
      <c r="K17" s="1">
        <v>51.1</v>
      </c>
      <c r="L17" s="13">
        <f t="shared" si="2"/>
        <v>46.2</v>
      </c>
      <c r="M17" s="1">
        <f t="shared" si="3"/>
        <v>0.48414540713386434</v>
      </c>
      <c r="N17" s="17">
        <v>46.9</v>
      </c>
      <c r="O17" s="21">
        <f t="shared" si="4"/>
        <v>2.2706419594578233</v>
      </c>
    </row>
    <row r="18" spans="1:15" x14ac:dyDescent="0.2">
      <c r="A18" s="1" t="s">
        <v>26</v>
      </c>
      <c r="B18" s="1" t="s">
        <v>21</v>
      </c>
      <c r="C18" s="1">
        <v>8</v>
      </c>
      <c r="D18" s="1">
        <v>15</v>
      </c>
      <c r="E18" s="1">
        <v>5.5</v>
      </c>
      <c r="F18" s="4">
        <f t="shared" si="0"/>
        <v>87.473720448390793</v>
      </c>
      <c r="G18" s="4">
        <v>4.9000000000000004</v>
      </c>
      <c r="H18" s="1">
        <v>112.9</v>
      </c>
      <c r="I18" s="13">
        <f t="shared" si="1"/>
        <v>108</v>
      </c>
      <c r="J18" s="1">
        <v>72.7</v>
      </c>
      <c r="K18" s="1">
        <v>67.8</v>
      </c>
      <c r="L18" s="13">
        <f t="shared" si="2"/>
        <v>62.9</v>
      </c>
      <c r="M18" s="1">
        <f t="shared" si="3"/>
        <v>0.71907310764392141</v>
      </c>
      <c r="N18" s="17">
        <v>32.9</v>
      </c>
      <c r="O18" s="21">
        <f t="shared" si="4"/>
        <v>2.3657505241485013</v>
      </c>
    </row>
    <row r="19" spans="1:15" x14ac:dyDescent="0.2">
      <c r="A19" s="1" t="s">
        <v>26</v>
      </c>
      <c r="B19" s="1" t="s">
        <v>21</v>
      </c>
      <c r="C19" s="1">
        <v>9</v>
      </c>
      <c r="D19" s="1">
        <v>15</v>
      </c>
      <c r="E19" s="1">
        <v>8.5</v>
      </c>
      <c r="F19" s="4">
        <f>PI()*(2.25)^2*E19</f>
        <v>135.18665887478579</v>
      </c>
      <c r="G19" s="4">
        <v>4.9000000000000004</v>
      </c>
      <c r="H19" s="1">
        <v>165.8</v>
      </c>
      <c r="I19" s="13">
        <f>H19-G19</f>
        <v>160.9</v>
      </c>
      <c r="J19" s="1">
        <v>81</v>
      </c>
      <c r="K19" s="1">
        <v>80.8</v>
      </c>
      <c r="L19" s="13">
        <f>K19-G19</f>
        <v>75.899999999999991</v>
      </c>
      <c r="M19" s="1">
        <f t="shared" si="3"/>
        <v>0.56144593432330481</v>
      </c>
      <c r="N19" s="17">
        <v>35.4</v>
      </c>
      <c r="O19" s="21">
        <f t="shared" si="4"/>
        <v>1.9875186075044988</v>
      </c>
    </row>
    <row r="20" spans="1:15" x14ac:dyDescent="0.2">
      <c r="A20" s="1" t="s">
        <v>29</v>
      </c>
      <c r="B20" s="1" t="s">
        <v>20</v>
      </c>
      <c r="C20" s="1">
        <v>1</v>
      </c>
      <c r="D20" s="1">
        <v>15</v>
      </c>
      <c r="E20" s="1">
        <v>5</v>
      </c>
      <c r="F20" s="4">
        <f t="shared" ref="F20:F37" si="5">PI()*(2.25)^2*E20</f>
        <v>79.521564043991631</v>
      </c>
      <c r="G20" s="4">
        <v>4.8</v>
      </c>
      <c r="H20" s="1">
        <v>116.9</v>
      </c>
      <c r="I20" s="13">
        <f t="shared" ref="I20:I37" si="6">H20-G20</f>
        <v>112.10000000000001</v>
      </c>
      <c r="J20" s="1">
        <v>74.3</v>
      </c>
      <c r="K20" s="1">
        <v>74.3</v>
      </c>
      <c r="L20" s="13">
        <f t="shared" ref="L20:L37" si="7">K20-G20</f>
        <v>69.5</v>
      </c>
      <c r="M20" s="1">
        <f t="shared" si="3"/>
        <v>0.87397677391697592</v>
      </c>
      <c r="N20" s="17">
        <v>45.9</v>
      </c>
      <c r="O20" s="21">
        <f t="shared" si="4"/>
        <v>4.0115533922789197</v>
      </c>
    </row>
    <row r="21" spans="1:15" x14ac:dyDescent="0.2">
      <c r="A21" s="1" t="s">
        <v>29</v>
      </c>
      <c r="B21" s="1" t="s">
        <v>20</v>
      </c>
      <c r="C21" s="1">
        <v>2</v>
      </c>
      <c r="D21" s="1">
        <v>15</v>
      </c>
      <c r="E21" s="1">
        <v>6</v>
      </c>
      <c r="F21" s="4">
        <f t="shared" si="5"/>
        <v>95.425876852789969</v>
      </c>
      <c r="G21" s="4">
        <v>4.9000000000000004</v>
      </c>
      <c r="H21" s="1">
        <v>138.5</v>
      </c>
      <c r="I21" s="13">
        <f t="shared" si="6"/>
        <v>133.6</v>
      </c>
      <c r="J21" s="1">
        <v>102.9</v>
      </c>
      <c r="K21" s="1">
        <v>84.8</v>
      </c>
      <c r="L21" s="13">
        <f t="shared" si="7"/>
        <v>79.899999999999991</v>
      </c>
      <c r="M21" s="1">
        <f t="shared" si="3"/>
        <v>0.8372990915583497</v>
      </c>
      <c r="N21" s="17">
        <v>45.7</v>
      </c>
      <c r="O21" s="21">
        <f t="shared" si="4"/>
        <v>3.8264568484216581</v>
      </c>
    </row>
    <row r="22" spans="1:15" x14ac:dyDescent="0.2">
      <c r="A22" s="1" t="s">
        <v>29</v>
      </c>
      <c r="B22" s="1" t="s">
        <v>20</v>
      </c>
      <c r="C22" s="1">
        <v>3</v>
      </c>
      <c r="D22" s="1">
        <v>15</v>
      </c>
      <c r="E22" s="1">
        <v>4</v>
      </c>
      <c r="F22" s="4">
        <f t="shared" si="5"/>
        <v>63.617251235193308</v>
      </c>
      <c r="G22" s="4">
        <v>4.8</v>
      </c>
      <c r="H22" s="1">
        <v>67.599999999999994</v>
      </c>
      <c r="I22" s="13">
        <f t="shared" si="6"/>
        <v>62.8</v>
      </c>
      <c r="J22" s="1">
        <v>44.7</v>
      </c>
      <c r="K22" s="1">
        <v>29.5</v>
      </c>
      <c r="L22" s="13">
        <f t="shared" si="7"/>
        <v>24.7</v>
      </c>
      <c r="M22" s="1">
        <f t="shared" si="3"/>
        <v>0.38825946611059903</v>
      </c>
      <c r="N22" s="17">
        <v>38.5</v>
      </c>
      <c r="O22" s="21">
        <f t="shared" si="4"/>
        <v>1.4947989445258063</v>
      </c>
    </row>
    <row r="23" spans="1:15" x14ac:dyDescent="0.2">
      <c r="A23" s="1" t="s">
        <v>29</v>
      </c>
      <c r="B23" s="1" t="s">
        <v>20</v>
      </c>
      <c r="C23" s="1">
        <v>4</v>
      </c>
      <c r="D23" s="1">
        <v>15</v>
      </c>
      <c r="E23" s="1">
        <v>5</v>
      </c>
      <c r="F23" s="4">
        <f t="shared" si="5"/>
        <v>79.521564043991631</v>
      </c>
      <c r="G23" s="4">
        <v>4.9000000000000004</v>
      </c>
      <c r="H23" s="1">
        <v>96</v>
      </c>
      <c r="I23" s="13">
        <f t="shared" si="6"/>
        <v>91.1</v>
      </c>
      <c r="J23" s="1">
        <v>68.599999999999994</v>
      </c>
      <c r="K23" s="1">
        <v>49.2</v>
      </c>
      <c r="L23" s="13">
        <f t="shared" si="7"/>
        <v>44.300000000000004</v>
      </c>
      <c r="M23" s="1">
        <f t="shared" si="3"/>
        <v>0.55708159833844662</v>
      </c>
      <c r="N23" s="17">
        <v>36.299999999999997</v>
      </c>
      <c r="O23" s="21">
        <f t="shared" si="4"/>
        <v>2.0222062019685607</v>
      </c>
    </row>
    <row r="24" spans="1:15" x14ac:dyDescent="0.2">
      <c r="A24" s="1" t="s">
        <v>29</v>
      </c>
      <c r="B24" s="1" t="s">
        <v>20</v>
      </c>
      <c r="C24" s="1">
        <v>5</v>
      </c>
      <c r="D24" s="1">
        <v>15</v>
      </c>
      <c r="E24" s="1">
        <v>6.5</v>
      </c>
      <c r="F24" s="4">
        <f t="shared" si="5"/>
        <v>103.37803325718913</v>
      </c>
      <c r="G24" s="4">
        <v>4.9000000000000004</v>
      </c>
      <c r="H24" s="1">
        <v>144</v>
      </c>
      <c r="I24" s="13">
        <f t="shared" si="6"/>
        <v>139.1</v>
      </c>
      <c r="J24" s="1">
        <v>74.599999999999994</v>
      </c>
      <c r="K24" s="1">
        <v>74.599999999999994</v>
      </c>
      <c r="L24" s="13">
        <f t="shared" si="7"/>
        <v>69.699999999999989</v>
      </c>
      <c r="M24" s="1">
        <f t="shared" si="3"/>
        <v>0.67422447307153521</v>
      </c>
      <c r="N24" s="17">
        <v>48.1</v>
      </c>
      <c r="O24" s="21">
        <f t="shared" si="4"/>
        <v>3.2430197154740843</v>
      </c>
    </row>
    <row r="25" spans="1:15" x14ac:dyDescent="0.2">
      <c r="A25" s="1" t="s">
        <v>29</v>
      </c>
      <c r="B25" s="1" t="s">
        <v>20</v>
      </c>
      <c r="C25" s="1">
        <v>6</v>
      </c>
      <c r="D25" s="1">
        <v>15</v>
      </c>
      <c r="E25" s="1">
        <v>5</v>
      </c>
      <c r="F25" s="4">
        <f t="shared" si="5"/>
        <v>79.521564043991631</v>
      </c>
      <c r="G25" s="4">
        <v>4.8</v>
      </c>
      <c r="H25" s="1">
        <v>105.4</v>
      </c>
      <c r="I25" s="13">
        <f t="shared" si="6"/>
        <v>100.60000000000001</v>
      </c>
      <c r="J25" s="1">
        <v>72.8</v>
      </c>
      <c r="K25" s="1">
        <v>51.3</v>
      </c>
      <c r="L25" s="13">
        <f t="shared" si="7"/>
        <v>46.5</v>
      </c>
      <c r="M25" s="1">
        <f t="shared" si="3"/>
        <v>0.58474705017466733</v>
      </c>
      <c r="N25" s="17">
        <v>41.7</v>
      </c>
      <c r="O25" s="21">
        <f t="shared" si="4"/>
        <v>2.4383951992283626</v>
      </c>
    </row>
    <row r="26" spans="1:15" x14ac:dyDescent="0.2">
      <c r="A26" s="1" t="s">
        <v>29</v>
      </c>
      <c r="B26" s="1" t="s">
        <v>20</v>
      </c>
      <c r="C26" s="1">
        <v>7</v>
      </c>
      <c r="D26" s="1">
        <v>15</v>
      </c>
      <c r="E26" s="1">
        <v>7</v>
      </c>
      <c r="F26" s="4">
        <f t="shared" si="5"/>
        <v>111.33018966158829</v>
      </c>
      <c r="G26" s="4">
        <v>4.9000000000000004</v>
      </c>
      <c r="H26" s="1">
        <v>153.30000000000001</v>
      </c>
      <c r="I26" s="13">
        <f t="shared" si="6"/>
        <v>148.4</v>
      </c>
      <c r="J26" s="1">
        <v>105</v>
      </c>
      <c r="K26" s="1">
        <v>91.6</v>
      </c>
      <c r="L26" s="13">
        <f t="shared" si="7"/>
        <v>86.699999999999989</v>
      </c>
      <c r="M26" s="1">
        <f t="shared" si="3"/>
        <v>0.77876450461050151</v>
      </c>
      <c r="N26" s="17">
        <v>28.5</v>
      </c>
      <c r="O26" s="21">
        <f t="shared" si="4"/>
        <v>2.2194788381399291</v>
      </c>
    </row>
    <row r="27" spans="1:15" x14ac:dyDescent="0.2">
      <c r="A27" s="1" t="s">
        <v>29</v>
      </c>
      <c r="B27" s="1" t="s">
        <v>20</v>
      </c>
      <c r="C27" s="1">
        <v>8</v>
      </c>
      <c r="D27" s="1">
        <v>15</v>
      </c>
      <c r="E27" s="1">
        <v>4.5</v>
      </c>
      <c r="F27" s="4">
        <f t="shared" si="5"/>
        <v>71.56940763959247</v>
      </c>
      <c r="G27" s="4">
        <v>4.8</v>
      </c>
      <c r="H27" s="1">
        <v>86.9</v>
      </c>
      <c r="I27" s="13">
        <f t="shared" si="6"/>
        <v>82.100000000000009</v>
      </c>
      <c r="J27" s="1">
        <v>54.6</v>
      </c>
      <c r="K27" s="1">
        <v>45.5</v>
      </c>
      <c r="L27" s="13">
        <f t="shared" si="7"/>
        <v>40.700000000000003</v>
      </c>
      <c r="M27" s="1">
        <f t="shared" si="3"/>
        <v>0.56867873218898357</v>
      </c>
      <c r="N27" s="17">
        <v>34.9</v>
      </c>
      <c r="O27" s="21">
        <f t="shared" si="4"/>
        <v>1.9846887753395523</v>
      </c>
    </row>
    <row r="28" spans="1:15" x14ac:dyDescent="0.2">
      <c r="A28" s="1" t="s">
        <v>29</v>
      </c>
      <c r="B28" s="1" t="s">
        <v>20</v>
      </c>
      <c r="C28" s="1">
        <v>9</v>
      </c>
      <c r="D28" s="1">
        <v>15</v>
      </c>
      <c r="E28" s="1">
        <v>5</v>
      </c>
      <c r="F28" s="4">
        <f t="shared" si="5"/>
        <v>79.521564043991631</v>
      </c>
      <c r="G28" s="4">
        <v>4.8</v>
      </c>
      <c r="H28" s="1">
        <v>84.4</v>
      </c>
      <c r="I28" s="13">
        <f t="shared" si="6"/>
        <v>79.600000000000009</v>
      </c>
      <c r="J28" s="1">
        <v>37.299999999999997</v>
      </c>
      <c r="K28" s="1">
        <v>37.299999999999997</v>
      </c>
      <c r="L28" s="13">
        <f t="shared" si="7"/>
        <v>32.5</v>
      </c>
      <c r="M28" s="1">
        <f t="shared" si="3"/>
        <v>0.40869417485326215</v>
      </c>
      <c r="N28" s="17">
        <v>42.7</v>
      </c>
      <c r="O28" s="21">
        <f t="shared" si="4"/>
        <v>1.7451241266234294</v>
      </c>
    </row>
    <row r="29" spans="1:15" x14ac:dyDescent="0.2">
      <c r="A29" s="1" t="s">
        <v>29</v>
      </c>
      <c r="B29" s="1" t="s">
        <v>21</v>
      </c>
      <c r="C29" s="1">
        <v>1</v>
      </c>
      <c r="D29" s="1">
        <v>15</v>
      </c>
      <c r="E29" s="1">
        <v>4.5</v>
      </c>
      <c r="F29" s="4">
        <f t="shared" si="5"/>
        <v>71.56940763959247</v>
      </c>
      <c r="G29" s="4">
        <v>4.8</v>
      </c>
      <c r="H29" s="1">
        <v>89</v>
      </c>
      <c r="I29" s="13">
        <f t="shared" si="6"/>
        <v>84.2</v>
      </c>
      <c r="J29" s="1">
        <v>60.8</v>
      </c>
      <c r="K29" s="1">
        <v>57.1</v>
      </c>
      <c r="L29" s="13">
        <f t="shared" si="7"/>
        <v>52.300000000000004</v>
      </c>
      <c r="M29" s="1">
        <f t="shared" si="3"/>
        <v>0.73075915708805506</v>
      </c>
      <c r="N29" s="17">
        <v>58.6</v>
      </c>
      <c r="O29" s="21">
        <f t="shared" si="4"/>
        <v>4.2822486605360028</v>
      </c>
    </row>
    <row r="30" spans="1:15" x14ac:dyDescent="0.2">
      <c r="A30" s="1" t="s">
        <v>29</v>
      </c>
      <c r="B30" s="1" t="s">
        <v>21</v>
      </c>
      <c r="C30" s="1">
        <v>2</v>
      </c>
      <c r="D30" s="1">
        <v>15</v>
      </c>
      <c r="E30" s="1">
        <v>8.5</v>
      </c>
      <c r="F30" s="4">
        <f t="shared" si="5"/>
        <v>135.18665887478579</v>
      </c>
      <c r="G30" s="4">
        <v>4.8</v>
      </c>
      <c r="H30" s="1">
        <v>185.6</v>
      </c>
      <c r="I30" s="13">
        <f t="shared" si="6"/>
        <v>180.79999999999998</v>
      </c>
      <c r="J30" s="1">
        <v>134.5</v>
      </c>
      <c r="K30" s="1">
        <v>110.8</v>
      </c>
      <c r="L30" s="13">
        <f t="shared" si="7"/>
        <v>106</v>
      </c>
      <c r="M30" s="1">
        <f t="shared" si="3"/>
        <v>0.78410104134743497</v>
      </c>
      <c r="N30" s="17">
        <v>43.6</v>
      </c>
      <c r="O30" s="21">
        <f t="shared" si="4"/>
        <v>3.4186805402748166</v>
      </c>
    </row>
    <row r="31" spans="1:15" x14ac:dyDescent="0.2">
      <c r="A31" s="1" t="s">
        <v>29</v>
      </c>
      <c r="B31" s="1" t="s">
        <v>21</v>
      </c>
      <c r="C31" s="1">
        <v>3</v>
      </c>
      <c r="D31" s="1">
        <v>15</v>
      </c>
      <c r="E31" s="1">
        <v>4</v>
      </c>
      <c r="F31" s="4">
        <f t="shared" si="5"/>
        <v>63.617251235193308</v>
      </c>
      <c r="G31" s="4">
        <v>4.7</v>
      </c>
      <c r="H31" s="1">
        <v>72.8</v>
      </c>
      <c r="I31" s="13">
        <f t="shared" si="6"/>
        <v>68.099999999999994</v>
      </c>
      <c r="J31" s="1">
        <v>40.5</v>
      </c>
      <c r="K31" s="1">
        <v>33.9</v>
      </c>
      <c r="L31" s="13">
        <f t="shared" si="7"/>
        <v>29.2</v>
      </c>
      <c r="M31" s="1">
        <f t="shared" si="3"/>
        <v>0.45899499637366359</v>
      </c>
      <c r="N31" s="17">
        <v>52.3</v>
      </c>
      <c r="O31" s="21">
        <f t="shared" si="4"/>
        <v>2.4005438310342604</v>
      </c>
    </row>
    <row r="32" spans="1:15" x14ac:dyDescent="0.2">
      <c r="A32" s="1" t="s">
        <v>29</v>
      </c>
      <c r="B32" s="1" t="s">
        <v>21</v>
      </c>
      <c r="C32" s="1">
        <v>4</v>
      </c>
      <c r="D32" s="1">
        <v>15</v>
      </c>
      <c r="E32" s="1">
        <v>3</v>
      </c>
      <c r="F32" s="4">
        <f t="shared" si="5"/>
        <v>47.712938426394985</v>
      </c>
      <c r="G32" s="4">
        <v>4.8</v>
      </c>
      <c r="H32" s="1">
        <v>57.3</v>
      </c>
      <c r="I32" s="13">
        <f t="shared" si="6"/>
        <v>52.5</v>
      </c>
      <c r="J32" s="1">
        <v>25.5</v>
      </c>
      <c r="K32" s="1">
        <v>25.5</v>
      </c>
      <c r="L32" s="13">
        <f t="shared" si="7"/>
        <v>20.7</v>
      </c>
      <c r="M32" s="1">
        <f t="shared" si="3"/>
        <v>0.43384458561346284</v>
      </c>
      <c r="N32" s="17">
        <v>66.099999999999994</v>
      </c>
      <c r="O32" s="21">
        <f t="shared" si="4"/>
        <v>2.8677127109049891</v>
      </c>
    </row>
    <row r="33" spans="1:15" x14ac:dyDescent="0.2">
      <c r="A33" s="1" t="s">
        <v>29</v>
      </c>
      <c r="B33" s="1" t="s">
        <v>21</v>
      </c>
      <c r="C33" s="1">
        <v>5</v>
      </c>
      <c r="D33" s="1">
        <v>15</v>
      </c>
      <c r="E33" s="1">
        <v>5</v>
      </c>
      <c r="F33" s="4">
        <f t="shared" si="5"/>
        <v>79.521564043991631</v>
      </c>
      <c r="G33" s="4">
        <v>4.9000000000000004</v>
      </c>
      <c r="H33" s="1">
        <v>152.4</v>
      </c>
      <c r="I33" s="13">
        <f t="shared" si="6"/>
        <v>147.5</v>
      </c>
      <c r="J33" s="1">
        <v>79.3</v>
      </c>
      <c r="K33" s="1">
        <v>79.3</v>
      </c>
      <c r="L33" s="13">
        <f t="shared" si="7"/>
        <v>74.399999999999991</v>
      </c>
      <c r="M33" s="1">
        <f t="shared" si="3"/>
        <v>0.9355952802794677</v>
      </c>
      <c r="N33" s="17">
        <v>40.200000000000003</v>
      </c>
      <c r="O33" s="21">
        <f t="shared" si="4"/>
        <v>3.7610930267234606</v>
      </c>
    </row>
    <row r="34" spans="1:15" x14ac:dyDescent="0.2">
      <c r="A34" s="1" t="s">
        <v>29</v>
      </c>
      <c r="B34" s="1" t="s">
        <v>21</v>
      </c>
      <c r="C34" s="1">
        <v>6</v>
      </c>
      <c r="D34" s="1">
        <v>15</v>
      </c>
      <c r="E34" s="1">
        <v>4</v>
      </c>
      <c r="F34" s="4">
        <f t="shared" si="5"/>
        <v>63.617251235193308</v>
      </c>
      <c r="G34" s="4">
        <v>4.9000000000000004</v>
      </c>
      <c r="H34" s="1">
        <v>82.8</v>
      </c>
      <c r="I34" s="13">
        <f t="shared" si="6"/>
        <v>77.899999999999991</v>
      </c>
      <c r="J34" s="1">
        <v>42.2</v>
      </c>
      <c r="K34" s="1">
        <v>42.2</v>
      </c>
      <c r="L34" s="13">
        <f t="shared" si="7"/>
        <v>37.300000000000004</v>
      </c>
      <c r="M34" s="1">
        <f t="shared" si="3"/>
        <v>0.58631895084718</v>
      </c>
      <c r="N34" s="17">
        <v>57.3</v>
      </c>
      <c r="O34" s="21">
        <f t="shared" si="4"/>
        <v>3.3596075883543417</v>
      </c>
    </row>
    <row r="35" spans="1:15" x14ac:dyDescent="0.2">
      <c r="A35" s="1" t="s">
        <v>29</v>
      </c>
      <c r="B35" s="1" t="s">
        <v>21</v>
      </c>
      <c r="C35" s="1">
        <v>7</v>
      </c>
      <c r="D35" s="1">
        <v>15</v>
      </c>
      <c r="E35" s="1">
        <v>4</v>
      </c>
      <c r="F35" s="4">
        <f t="shared" si="5"/>
        <v>63.617251235193308</v>
      </c>
      <c r="G35" s="4">
        <v>4.9000000000000004</v>
      </c>
      <c r="H35" s="1">
        <v>85.5</v>
      </c>
      <c r="I35" s="13">
        <f t="shared" si="6"/>
        <v>80.599999999999994</v>
      </c>
      <c r="J35" s="1">
        <v>55.8</v>
      </c>
      <c r="K35" s="1">
        <v>41.2</v>
      </c>
      <c r="L35" s="13">
        <f t="shared" si="7"/>
        <v>36.300000000000004</v>
      </c>
      <c r="M35" s="1">
        <f t="shared" si="3"/>
        <v>0.5705999441220545</v>
      </c>
      <c r="N35" s="17">
        <v>35.9</v>
      </c>
      <c r="O35" s="21">
        <f t="shared" si="4"/>
        <v>2.0484537993981755</v>
      </c>
    </row>
    <row r="36" spans="1:15" x14ac:dyDescent="0.2">
      <c r="A36" s="1" t="s">
        <v>29</v>
      </c>
      <c r="B36" s="1" t="s">
        <v>21</v>
      </c>
      <c r="C36" s="1">
        <v>8</v>
      </c>
      <c r="D36" s="1">
        <v>15</v>
      </c>
      <c r="E36" s="1">
        <v>5</v>
      </c>
      <c r="F36" s="4">
        <f t="shared" si="5"/>
        <v>79.521564043991631</v>
      </c>
      <c r="G36" s="4">
        <v>4.8</v>
      </c>
      <c r="H36" s="1">
        <v>174.7</v>
      </c>
      <c r="I36" s="13">
        <f t="shared" si="6"/>
        <v>169.89999999999998</v>
      </c>
      <c r="J36" s="1">
        <v>109.3</v>
      </c>
      <c r="K36" s="1">
        <v>109.3</v>
      </c>
      <c r="L36" s="13">
        <f t="shared" si="7"/>
        <v>104.5</v>
      </c>
      <c r="M36" s="1">
        <f t="shared" si="3"/>
        <v>1.3141089622204891</v>
      </c>
      <c r="N36" s="17">
        <v>23.9</v>
      </c>
      <c r="O36" s="21">
        <f t="shared" si="4"/>
        <v>3.1407204197069687</v>
      </c>
    </row>
    <row r="37" spans="1:15" x14ac:dyDescent="0.2">
      <c r="A37" s="1" t="s">
        <v>29</v>
      </c>
      <c r="B37" s="1" t="s">
        <v>21</v>
      </c>
      <c r="C37" s="1">
        <v>9</v>
      </c>
      <c r="D37" s="1">
        <v>15</v>
      </c>
      <c r="E37" s="1">
        <v>6</v>
      </c>
      <c r="F37" s="4">
        <f t="shared" si="5"/>
        <v>95.425876852789969</v>
      </c>
      <c r="G37" s="4">
        <v>4.9000000000000004</v>
      </c>
      <c r="H37" s="1">
        <v>132.4</v>
      </c>
      <c r="I37" s="13">
        <f t="shared" si="6"/>
        <v>127.5</v>
      </c>
      <c r="J37" s="1">
        <v>97.6</v>
      </c>
      <c r="K37" s="1">
        <v>84.8</v>
      </c>
      <c r="L37" s="13">
        <f t="shared" si="7"/>
        <v>79.899999999999991</v>
      </c>
      <c r="M37" s="1">
        <f t="shared" si="3"/>
        <v>0.8372990915583497</v>
      </c>
      <c r="N37" s="17">
        <v>29</v>
      </c>
      <c r="O37" s="21">
        <f t="shared" si="4"/>
        <v>2.4281673655192142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Carbon</vt:lpstr>
      <vt:lpstr>Nitrogen</vt:lpstr>
      <vt:lpstr>Phosphorus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LESS PIAMONTE</dc:creator>
  <cp:lastModifiedBy>JANINE LESS PIAMONTE</cp:lastModifiedBy>
  <dcterms:created xsi:type="dcterms:W3CDTF">2026-03-03T04:39:04Z</dcterms:created>
  <dcterms:modified xsi:type="dcterms:W3CDTF">2026-10-20T02:49:27Z</dcterms:modified>
</cp:coreProperties>
</file>